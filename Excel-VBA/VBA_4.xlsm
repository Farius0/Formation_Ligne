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inau\Downloads\Microsoft\Excel\"/>
    </mc:Choice>
  </mc:AlternateContent>
  <xr:revisionPtr revIDLastSave="0" documentId="13_ncr:1_{8736E282-2127-4BEF-A4CA-9DB10E49A52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Empty Line" sheetId="2" r:id="rId1"/>
    <sheet name="Duplicate" sheetId="3" r:id="rId2"/>
    <sheet name="CA" sheetId="5" r:id="rId3"/>
    <sheet name="Encode" sheetId="6" r:id="rId4"/>
  </sheets>
  <definedNames>
    <definedName name="total__ca">CA!$I$11</definedName>
    <definedName name="total_ca">CA!$I$11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6" l="1"/>
  <c r="G12" i="6"/>
  <c r="H11" i="5"/>
  <c r="G11" i="5"/>
  <c r="F11" i="5"/>
  <c r="E11" i="5"/>
  <c r="E12" i="5" s="1"/>
  <c r="D11" i="5"/>
  <c r="D12" i="5" s="1"/>
  <c r="C11" i="5"/>
  <c r="C12" i="5" s="1"/>
  <c r="I9" i="5"/>
  <c r="I8" i="5"/>
  <c r="J8" i="5" s="1"/>
  <c r="I7" i="5"/>
  <c r="I6" i="5"/>
  <c r="I5" i="5"/>
  <c r="I11" i="5" s="1"/>
  <c r="I12" i="5" l="1"/>
  <c r="J5" i="5"/>
  <c r="J9" i="5"/>
  <c r="F12" i="5"/>
  <c r="J6" i="5"/>
  <c r="G12" i="5"/>
  <c r="J7" i="5"/>
  <c r="H12" i="5"/>
  <c r="J11" i="5" l="1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F5" i="2"/>
</calcChain>
</file>

<file path=xl/sharedStrings.xml><?xml version="1.0" encoding="utf-8"?>
<sst xmlns="http://schemas.openxmlformats.org/spreadsheetml/2006/main" count="186" uniqueCount="77">
  <si>
    <t>CODES</t>
  </si>
  <si>
    <t>SOCIETE</t>
  </si>
  <si>
    <t>VILLES</t>
  </si>
  <si>
    <t>E-PLUS</t>
  </si>
  <si>
    <t>AIX</t>
  </si>
  <si>
    <t>ALPHA JET</t>
  </si>
  <si>
    <t>LYON</t>
  </si>
  <si>
    <t>ESTOM</t>
  </si>
  <si>
    <t>PARIS</t>
  </si>
  <si>
    <t>H-SUN</t>
  </si>
  <si>
    <t>NICE</t>
  </si>
  <si>
    <t>AG2S</t>
  </si>
  <si>
    <t>PLENTY</t>
  </si>
  <si>
    <t>ANNECY</t>
  </si>
  <si>
    <t>EXCELL</t>
  </si>
  <si>
    <t>TOULOUSE</t>
  </si>
  <si>
    <t>Fiche travaux réalisés</t>
  </si>
  <si>
    <t>Dates</t>
  </si>
  <si>
    <t>Client</t>
  </si>
  <si>
    <t>Coût estimé</t>
  </si>
  <si>
    <t>Coût réel</t>
  </si>
  <si>
    <t>Différence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</si>
  <si>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</si>
  <si>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</si>
  <si>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</si>
  <si>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</si>
  <si>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</si>
  <si>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</si>
  <si>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</si>
  <si>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</si>
  <si>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</si>
  <si>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</si>
  <si>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</si>
  <si>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</si>
  <si>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</si>
  <si>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</si>
  <si>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</si>
  <si>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</si>
  <si>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</si>
  <si>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</si>
  <si>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</si>
  <si>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</si>
  <si>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Chiffre d'affaire semestriel</t>
  </si>
  <si>
    <t>Produits</t>
  </si>
  <si>
    <t>Janvier</t>
  </si>
  <si>
    <t>Février</t>
  </si>
  <si>
    <t>Mars</t>
  </si>
  <si>
    <t>Avril</t>
  </si>
  <si>
    <t>Mai</t>
  </si>
  <si>
    <t>Juin</t>
  </si>
  <si>
    <t>Total</t>
  </si>
  <si>
    <t>Part de % du total</t>
  </si>
  <si>
    <t>Shampooings</t>
  </si>
  <si>
    <t>Maquillage</t>
  </si>
  <si>
    <t>X</t>
  </si>
  <si>
    <t>Y</t>
  </si>
  <si>
    <t>U</t>
  </si>
  <si>
    <t>Z</t>
  </si>
  <si>
    <t>W</t>
  </si>
  <si>
    <t>V</t>
  </si>
  <si>
    <t xml:space="preserve"> </t>
  </si>
  <si>
    <t>Crèmes Hydratantes</t>
  </si>
  <si>
    <t>Soins Solaires</t>
  </si>
  <si>
    <t>Compléments Alimentaires</t>
  </si>
  <si>
    <t>ENCODE</t>
  </si>
  <si>
    <t>DECODE</t>
  </si>
  <si>
    <t>MESSAGE</t>
  </si>
  <si>
    <t>@</t>
  </si>
  <si>
    <t>#</t>
  </si>
  <si>
    <t>]</t>
  </si>
  <si>
    <t>(</t>
  </si>
  <si>
    <t>)</t>
  </si>
  <si>
    <t>£</t>
  </si>
  <si>
    <t>$</t>
  </si>
  <si>
    <t>§</t>
  </si>
  <si>
    <t>I LOVE YOU MY SWEET DARLING</t>
  </si>
  <si>
    <t>R§N#£C§V#O§XV§ZSCCW§($UNRY@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</si>
</sst>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#,##0.00\ &quot;€&quot;;[Red]\-#,##0.00\ &quot;€&quot;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Times New Roman"/>
      <family val="1"/>
    </font>
    <font>
      <b/>
      <sz val="16"/>
      <color theme="1"/>
      <name val="Times New Roman"/>
      <family val="1"/>
    </font>
    <font>
      <sz val="16"/>
      <color theme="1" tint="0.249977111117893"/>
      <name val="Times New Roman"/>
      <family val="1"/>
    </font>
    <font>
      <sz val="16"/>
      <color rgb="FFFF0000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sz val="20"/>
      <color theme="1"/>
      <name val="Times New Roman"/>
      <family val="1"/>
    </font>
    <font>
      <sz val="12"/>
      <color theme="1" tint="0.249977111117893"/>
      <name val="Times New Roman"/>
      <family val="1"/>
    </font>
    <font>
      <b/>
      <sz val="12"/>
      <color theme="1" tint="0.249977111117893"/>
      <name val="Times New Roman"/>
      <family val="1"/>
    </font>
    <font>
      <b/>
      <sz val="15"/>
      <color theme="1"/>
      <name val="Times New Roman"/>
      <family val="1"/>
    </font>
    <font>
      <b/>
      <sz val="12"/>
      <color rgb="FFFF0000"/>
      <name val="Times New Roman"/>
      <family val="1"/>
    </font>
    <font>
      <sz val="12"/>
      <color rgb="FFFF0000"/>
      <name val="Times New Roman"/>
      <family val="1"/>
    </font>
    <font>
      <sz val="14"/>
      <color theme="8" tint="-0.249977111117893"/>
      <name val="Times New Roman"/>
      <family val="1"/>
    </font>
    <font>
      <b/>
      <sz val="16"/>
      <color rgb="FFFF0000"/>
      <name val="Times New Roman"/>
      <family val="1"/>
    </font>
    <font>
      <sz val="14"/>
      <color rgb="FF008000"/>
      <name val="Times New Roman"/>
      <family val="1"/>
    </font>
    <font>
      <sz val="14"/>
      <color rgb="FFFF0000"/>
      <name val="Times New Roman"/>
      <family val="1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rgb="FF00B050"/>
        <bgColor indexed="64"/>
      </patternFill>
    </fill>
  </fills>
  <borders count="4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82">
    <xf numFmtId="0" fontId="0" fillId="0" borderId="0" xfId="0"/>
    <xf numFmtId="0" fontId="2" fillId="2" borderId="0" xfId="0" applyFont="1" applyFill="1"/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14" fontId="2" fillId="0" borderId="18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4" fontId="2" fillId="0" borderId="1" xfId="1" applyFont="1" applyBorder="1"/>
    <xf numFmtId="44" fontId="2" fillId="0" borderId="2" xfId="1" applyFont="1" applyBorder="1"/>
    <xf numFmtId="14" fontId="2" fillId="0" borderId="20" xfId="0" applyNumberFormat="1" applyFont="1" applyBorder="1" applyAlignment="1">
      <alignment horizontal="center"/>
    </xf>
    <xf numFmtId="0" fontId="2" fillId="0" borderId="0" xfId="0" applyFont="1" applyAlignment="1">
      <alignment horizontal="center"/>
    </xf>
    <xf numFmtId="44" fontId="2" fillId="0" borderId="0" xfId="1" applyFont="1" applyBorder="1"/>
    <xf numFmtId="44" fontId="2" fillId="0" borderId="3" xfId="1" applyFont="1" applyBorder="1"/>
    <xf numFmtId="14" fontId="2" fillId="0" borderId="22" xfId="0" applyNumberFormat="1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44" fontId="2" fillId="0" borderId="23" xfId="1" applyFont="1" applyBorder="1"/>
    <xf numFmtId="44" fontId="2" fillId="0" borderId="24" xfId="1" applyFont="1" applyBorder="1"/>
    <xf numFmtId="9" fontId="3" fillId="5" borderId="19" xfId="2" applyFont="1" applyFill="1" applyBorder="1" applyAlignment="1">
      <alignment horizontal="center"/>
    </xf>
    <xf numFmtId="9" fontId="3" fillId="5" borderId="21" xfId="2" applyFont="1" applyFill="1" applyBorder="1" applyAlignment="1">
      <alignment horizontal="center"/>
    </xf>
    <xf numFmtId="9" fontId="3" fillId="5" borderId="25" xfId="2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 wrapText="1"/>
    </xf>
    <xf numFmtId="0" fontId="3" fillId="5" borderId="17" xfId="0" applyFont="1" applyFill="1" applyBorder="1" applyAlignment="1">
      <alignment horizontal="center" vertical="center" wrapText="1"/>
    </xf>
    <xf numFmtId="0" fontId="4" fillId="6" borderId="0" xfId="0" applyFont="1" applyFill="1"/>
    <xf numFmtId="0" fontId="4" fillId="6" borderId="0" xfId="0" applyFont="1" applyFill="1" applyAlignment="1">
      <alignment horizontal="center"/>
    </xf>
    <xf numFmtId="0" fontId="2" fillId="7" borderId="8" xfId="0" applyFont="1" applyFill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7" borderId="11" xfId="0" applyFont="1" applyFill="1" applyBorder="1" applyAlignment="1">
      <alignment horizontal="center" vertical="center"/>
    </xf>
    <xf numFmtId="0" fontId="7" fillId="2" borderId="0" xfId="0" applyFont="1" applyFill="1"/>
    <xf numFmtId="0" fontId="8" fillId="2" borderId="0" xfId="0" applyFont="1" applyFill="1"/>
    <xf numFmtId="0" fontId="6" fillId="5" borderId="26" xfId="0" applyFont="1" applyFill="1" applyBorder="1" applyAlignment="1">
      <alignment vertical="center" wrapText="1"/>
    </xf>
    <xf numFmtId="0" fontId="6" fillId="5" borderId="29" xfId="0" applyFont="1" applyFill="1" applyBorder="1"/>
    <xf numFmtId="0" fontId="6" fillId="5" borderId="36" xfId="0" applyFont="1" applyFill="1" applyBorder="1"/>
    <xf numFmtId="0" fontId="6" fillId="5" borderId="40" xfId="0" applyFont="1" applyFill="1" applyBorder="1"/>
    <xf numFmtId="0" fontId="8" fillId="2" borderId="0" xfId="0" applyFont="1" applyFill="1" applyAlignment="1">
      <alignment horizontal="center"/>
    </xf>
    <xf numFmtId="0" fontId="6" fillId="5" borderId="27" xfId="0" applyFont="1" applyFill="1" applyBorder="1" applyAlignment="1">
      <alignment horizontal="center" vertical="center" wrapText="1"/>
    </xf>
    <xf numFmtId="0" fontId="6" fillId="5" borderId="28" xfId="0" applyFont="1" applyFill="1" applyBorder="1" applyAlignment="1">
      <alignment horizontal="center" vertical="center" wrapText="1"/>
    </xf>
    <xf numFmtId="164" fontId="9" fillId="8" borderId="30" xfId="0" applyNumberFormat="1" applyFont="1" applyFill="1" applyBorder="1" applyAlignment="1">
      <alignment horizontal="center"/>
    </xf>
    <xf numFmtId="164" fontId="9" fillId="8" borderId="31" xfId="0" applyNumberFormat="1" applyFont="1" applyFill="1" applyBorder="1" applyAlignment="1">
      <alignment horizontal="center"/>
    </xf>
    <xf numFmtId="9" fontId="10" fillId="8" borderId="32" xfId="2" applyFont="1" applyFill="1" applyBorder="1" applyAlignment="1">
      <alignment horizontal="center"/>
    </xf>
    <xf numFmtId="164" fontId="9" fillId="8" borderId="33" xfId="0" applyNumberFormat="1" applyFont="1" applyFill="1" applyBorder="1" applyAlignment="1">
      <alignment horizontal="center"/>
    </xf>
    <xf numFmtId="164" fontId="9" fillId="8" borderId="34" xfId="0" applyNumberFormat="1" applyFont="1" applyFill="1" applyBorder="1" applyAlignment="1">
      <alignment horizontal="center"/>
    </xf>
    <xf numFmtId="9" fontId="10" fillId="8" borderId="35" xfId="2" applyFont="1" applyFill="1" applyBorder="1" applyAlignment="1">
      <alignment horizontal="center"/>
    </xf>
    <xf numFmtId="164" fontId="9" fillId="8" borderId="37" xfId="0" applyNumberFormat="1" applyFont="1" applyFill="1" applyBorder="1" applyAlignment="1">
      <alignment horizontal="center"/>
    </xf>
    <xf numFmtId="164" fontId="9" fillId="8" borderId="38" xfId="0" applyNumberFormat="1" applyFont="1" applyFill="1" applyBorder="1" applyAlignment="1">
      <alignment horizontal="center"/>
    </xf>
    <xf numFmtId="9" fontId="10" fillId="8" borderId="39" xfId="2" applyFont="1" applyFill="1" applyBorder="1" applyAlignment="1">
      <alignment horizontal="center"/>
    </xf>
    <xf numFmtId="9" fontId="10" fillId="8" borderId="37" xfId="2" applyFont="1" applyFill="1" applyBorder="1" applyAlignment="1">
      <alignment horizontal="center"/>
    </xf>
    <xf numFmtId="9" fontId="10" fillId="8" borderId="38" xfId="2" applyFont="1" applyFill="1" applyBorder="1" applyAlignment="1">
      <alignment horizontal="center"/>
    </xf>
    <xf numFmtId="164" fontId="10" fillId="8" borderId="39" xfId="0" applyNumberFormat="1" applyFont="1" applyFill="1" applyBorder="1" applyAlignment="1">
      <alignment horizontal="center"/>
    </xf>
    <xf numFmtId="164" fontId="12" fillId="8" borderId="31" xfId="0" applyNumberFormat="1" applyFont="1" applyFill="1" applyBorder="1" applyAlignment="1">
      <alignment horizontal="center"/>
    </xf>
    <xf numFmtId="164" fontId="12" fillId="8" borderId="34" xfId="0" applyNumberFormat="1" applyFont="1" applyFill="1" applyBorder="1" applyAlignment="1">
      <alignment horizontal="center"/>
    </xf>
    <xf numFmtId="164" fontId="12" fillId="8" borderId="38" xfId="0" applyNumberFormat="1" applyFont="1" applyFill="1" applyBorder="1" applyAlignment="1">
      <alignment horizontal="center"/>
    </xf>
    <xf numFmtId="164" fontId="12" fillId="8" borderId="42" xfId="0" applyNumberFormat="1" applyFont="1" applyFill="1" applyBorder="1" applyAlignment="1">
      <alignment horizontal="center"/>
    </xf>
    <xf numFmtId="164" fontId="12" fillId="8" borderId="41" xfId="0" applyNumberFormat="1" applyFont="1" applyFill="1" applyBorder="1" applyAlignment="1">
      <alignment horizontal="center"/>
    </xf>
    <xf numFmtId="9" fontId="12" fillId="8" borderId="43" xfId="2" applyFont="1" applyFill="1" applyBorder="1" applyAlignment="1">
      <alignment horizontal="center"/>
    </xf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13" fillId="2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0" fontId="14" fillId="2" borderId="0" xfId="0" applyFont="1" applyFill="1" applyAlignment="1">
      <alignment horizontal="center"/>
    </xf>
    <xf numFmtId="0" fontId="7" fillId="2" borderId="45" xfId="0" applyFont="1" applyFill="1" applyBorder="1"/>
    <xf numFmtId="0" fontId="7" fillId="2" borderId="44" xfId="0" applyFont="1" applyFill="1" applyBorder="1"/>
    <xf numFmtId="0" fontId="7" fillId="2" borderId="11" xfId="0" applyFont="1" applyFill="1" applyBorder="1"/>
    <xf numFmtId="0" fontId="7" fillId="9" borderId="44" xfId="0" applyFont="1" applyFill="1" applyBorder="1"/>
    <xf numFmtId="0" fontId="7" fillId="3" borderId="46" xfId="0" applyFont="1" applyFill="1" applyBorder="1"/>
    <xf numFmtId="0" fontId="7" fillId="3" borderId="44" xfId="0" applyFont="1" applyFill="1" applyBorder="1"/>
    <xf numFmtId="0" fontId="3" fillId="5" borderId="12" xfId="0" applyFont="1" applyFill="1" applyBorder="1" applyAlignment="1">
      <alignment horizontal="center" vertical="center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11" fillId="5" borderId="12" xfId="0" applyFont="1" applyFill="1" applyBorder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7" fillId="4" borderId="44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259080</xdr:colOff>
          <xdr:row>0</xdr:row>
          <xdr:rowOff>76200</xdr:rowOff>
        </xdr:from>
        <xdr:to>
          <xdr:col>8</xdr:col>
          <xdr:colOff>342900</xdr:colOff>
          <xdr:row>2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Delete blank line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7620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Duplicated Rows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</xdr:row>
          <xdr:rowOff>13854</xdr:rowOff>
        </xdr:from>
        <xdr:to>
          <xdr:col>9</xdr:col>
          <xdr:colOff>0</xdr:colOff>
          <xdr:row>1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Times New Roman"/>
                  <a:cs typeface="Times New Roman"/>
                </a:rPr>
                <a:t>ENCODE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</xdr:row>
          <xdr:rowOff>7620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7171" name="Button 3" descr="DECOD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DECODE</a:t>
              </a:r>
            </a:p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DECODE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57529-B77C-4040-8EA2-1CFFEFE6B57B}">
  <sheetPr codeName="Sheet1"/>
  <dimension ref="B1:F24"/>
  <sheetViews>
    <sheetView tabSelected="1" workbookViewId="0">
      <selection activeCell="J11" sqref="J11"/>
    </sheetView>
  </sheetViews>
  <sheetFormatPr defaultRowHeight="21" x14ac:dyDescent="0.4"/>
  <cols>
    <col min="1" max="1" width="8.88671875" style="1"/>
    <col min="2" max="2" width="14" style="1" bestFit="1" customWidth="1"/>
    <col min="3" max="3" width="9.21875" style="1" bestFit="1" customWidth="1"/>
    <col min="4" max="5" width="17.21875" style="1" bestFit="1" customWidth="1"/>
    <col min="6" max="6" width="15.5546875" style="2" customWidth="1"/>
    <col min="7" max="16384" width="8.88671875" style="1"/>
  </cols>
  <sheetData>
    <row r="1" spans="2:6" ht="21.6" thickBot="1" x14ac:dyDescent="0.45"/>
    <row r="2" spans="2:6" ht="21.6" thickBot="1" x14ac:dyDescent="0.45">
      <c r="B2" s="74" t="s">
        <v>16</v>
      </c>
      <c r="C2" s="75"/>
      <c r="D2" s="75"/>
      <c r="E2" s="75"/>
      <c r="F2" s="76"/>
    </row>
    <row r="3" spans="2:6" ht="21.6" thickBot="1" x14ac:dyDescent="0.45">
      <c r="B3" s="28"/>
      <c r="C3" s="28"/>
      <c r="D3" s="28"/>
      <c r="E3" s="28"/>
      <c r="F3" s="29"/>
    </row>
    <row r="4" spans="2:6" x14ac:dyDescent="0.4">
      <c r="B4" s="24" t="s">
        <v>17</v>
      </c>
      <c r="C4" s="25" t="s">
        <v>18</v>
      </c>
      <c r="D4" s="26" t="s">
        <v>19</v>
      </c>
      <c r="E4" s="25" t="s">
        <v>20</v>
      </c>
      <c r="F4" s="27" t="s">
        <v>21</v>
      </c>
    </row>
    <row r="5" spans="2:6" x14ac:dyDescent="0.4">
      <c r="B5" s="9">
        <v>42402</v>
      </c>
      <c r="C5" s="10" t="s">
        <v>22</v>
      </c>
      <c r="D5" s="11">
        <v>15000</v>
      </c>
      <c r="E5" s="12">
        <v>15750</v>
      </c>
      <c r="F5" s="21">
        <f t="shared" ref="F5:F24" si="0">ABS((E5-D5)/D5)</f>
        <v>0.05</v>
      </c>
    </row>
    <row r="6" spans="2:6" x14ac:dyDescent="0.4">
      <c r="B6" s="13">
        <v>42404</v>
      </c>
      <c r="C6" s="14" t="s">
        <v>23</v>
      </c>
      <c r="D6" s="15">
        <v>12000</v>
      </c>
      <c r="E6" s="16">
        <v>12240</v>
      </c>
      <c r="F6" s="22">
        <f t="shared" si="0"/>
        <v>0.02</v>
      </c>
    </row>
    <row r="7" spans="2:6" x14ac:dyDescent="0.4">
      <c r="B7" s="13">
        <v>42406</v>
      </c>
      <c r="C7" s="14" t="s">
        <v>24</v>
      </c>
      <c r="D7" s="15">
        <v>16000</v>
      </c>
      <c r="E7" s="16">
        <v>15900</v>
      </c>
      <c r="F7" s="22">
        <f t="shared" si="0"/>
        <v>6.2500000000000003E-3</v>
      </c>
    </row>
    <row r="8" spans="2:6" x14ac:dyDescent="0.4">
      <c r="B8" s="13">
        <v>42408</v>
      </c>
      <c r="C8" s="14" t="s">
        <v>25</v>
      </c>
      <c r="D8" s="15">
        <v>14800</v>
      </c>
      <c r="E8" s="16">
        <v>15540</v>
      </c>
      <c r="F8" s="22">
        <f t="shared" si="0"/>
        <v>0.05</v>
      </c>
    </row>
    <row r="9" spans="2:6" x14ac:dyDescent="0.4">
      <c r="B9" s="13">
        <v>42410</v>
      </c>
      <c r="C9" s="14" t="s">
        <v>26</v>
      </c>
      <c r="D9" s="15">
        <v>9500</v>
      </c>
      <c r="E9" s="16">
        <v>9600</v>
      </c>
      <c r="F9" s="22">
        <f t="shared" si="0"/>
        <v>1.0526315789473684E-2</v>
      </c>
    </row>
    <row r="10" spans="2:6" x14ac:dyDescent="0.4">
      <c r="B10" s="13">
        <v>42412</v>
      </c>
      <c r="C10" s="14" t="s">
        <v>27</v>
      </c>
      <c r="D10" s="15">
        <v>2528</v>
      </c>
      <c r="E10" s="16">
        <v>2300</v>
      </c>
      <c r="F10" s="22">
        <f t="shared" si="0"/>
        <v>9.0189873417721514E-2</v>
      </c>
    </row>
    <row r="11" spans="2:6" x14ac:dyDescent="0.4">
      <c r="B11" s="13">
        <v>42414</v>
      </c>
      <c r="C11" s="14" t="s">
        <v>28</v>
      </c>
      <c r="D11" s="15">
        <v>14590</v>
      </c>
      <c r="E11" s="16">
        <v>11000</v>
      </c>
      <c r="F11" s="22">
        <f t="shared" si="0"/>
        <v>0.24605894448252227</v>
      </c>
    </row>
    <row r="12" spans="2:6" x14ac:dyDescent="0.4">
      <c r="B12" s="13">
        <v>42416</v>
      </c>
      <c r="C12" s="14" t="s">
        <v>29</v>
      </c>
      <c r="D12" s="15">
        <v>98500</v>
      </c>
      <c r="E12" s="16">
        <v>99000</v>
      </c>
      <c r="F12" s="22">
        <f t="shared" si="0"/>
        <v>5.076142131979695E-3</v>
      </c>
    </row>
    <row r="13" spans="2:6" x14ac:dyDescent="0.4">
      <c r="B13" s="13">
        <v>42418</v>
      </c>
      <c r="C13" s="14" t="s">
        <v>30</v>
      </c>
      <c r="D13" s="15">
        <v>5600</v>
      </c>
      <c r="E13" s="16">
        <v>6200</v>
      </c>
      <c r="F13" s="22">
        <f t="shared" si="0"/>
        <v>0.10714285714285714</v>
      </c>
    </row>
    <row r="14" spans="2:6" x14ac:dyDescent="0.4">
      <c r="B14" s="13">
        <v>42420</v>
      </c>
      <c r="C14" s="14" t="s">
        <v>31</v>
      </c>
      <c r="D14" s="15">
        <v>5000</v>
      </c>
      <c r="E14" s="16">
        <v>5400</v>
      </c>
      <c r="F14" s="22">
        <f t="shared" si="0"/>
        <v>0.08</v>
      </c>
    </row>
    <row r="15" spans="2:6" x14ac:dyDescent="0.4">
      <c r="B15" s="13">
        <v>42422</v>
      </c>
      <c r="C15" s="14" t="s">
        <v>32</v>
      </c>
      <c r="D15" s="15">
        <v>14500</v>
      </c>
      <c r="E15" s="16">
        <v>16300</v>
      </c>
      <c r="F15" s="22">
        <f t="shared" si="0"/>
        <v>0.12413793103448276</v>
      </c>
    </row>
    <row r="16" spans="2:6" x14ac:dyDescent="0.4">
      <c r="B16" s="13">
        <v>42424</v>
      </c>
      <c r="C16" s="14" t="s">
        <v>33</v>
      </c>
      <c r="D16" s="15">
        <v>28600</v>
      </c>
      <c r="E16" s="16">
        <v>30030</v>
      </c>
      <c r="F16" s="22">
        <f t="shared" si="0"/>
        <v>0.05</v>
      </c>
    </row>
    <row r="17" spans="2:6" x14ac:dyDescent="0.4">
      <c r="B17" s="13">
        <v>42426</v>
      </c>
      <c r="C17" s="14" t="s">
        <v>34</v>
      </c>
      <c r="D17" s="15">
        <v>15380</v>
      </c>
      <c r="E17" s="16">
        <v>16149</v>
      </c>
      <c r="F17" s="22">
        <f t="shared" si="0"/>
        <v>0.05</v>
      </c>
    </row>
    <row r="18" spans="2:6" x14ac:dyDescent="0.4">
      <c r="B18" s="13">
        <v>42428</v>
      </c>
      <c r="C18" s="14" t="s">
        <v>35</v>
      </c>
      <c r="D18" s="15">
        <v>14000</v>
      </c>
      <c r="E18" s="16">
        <v>14700</v>
      </c>
      <c r="F18" s="22">
        <f t="shared" si="0"/>
        <v>0.05</v>
      </c>
    </row>
    <row r="19" spans="2:6" x14ac:dyDescent="0.4">
      <c r="B19" s="13">
        <v>42431</v>
      </c>
      <c r="C19" s="14" t="s">
        <v>36</v>
      </c>
      <c r="D19" s="15">
        <v>69800</v>
      </c>
      <c r="E19" s="16">
        <v>62000</v>
      </c>
      <c r="F19" s="22">
        <f t="shared" si="0"/>
        <v>0.11174785100286533</v>
      </c>
    </row>
    <row r="20" spans="2:6" x14ac:dyDescent="0.4">
      <c r="B20" s="13">
        <v>42433</v>
      </c>
      <c r="C20" s="14" t="s">
        <v>37</v>
      </c>
      <c r="D20" s="15">
        <v>1487</v>
      </c>
      <c r="E20" s="16">
        <v>1300</v>
      </c>
      <c r="F20" s="22">
        <f t="shared" si="0"/>
        <v>0.12575655682582382</v>
      </c>
    </row>
    <row r="21" spans="2:6" x14ac:dyDescent="0.4">
      <c r="B21" s="13">
        <v>42435</v>
      </c>
      <c r="C21" s="14" t="s">
        <v>38</v>
      </c>
      <c r="D21" s="15">
        <v>12356</v>
      </c>
      <c r="E21" s="16">
        <v>11990</v>
      </c>
      <c r="F21" s="22">
        <f t="shared" si="0"/>
        <v>2.9621236646163809E-2</v>
      </c>
    </row>
    <row r="22" spans="2:6" x14ac:dyDescent="0.4">
      <c r="B22" s="13">
        <v>42437</v>
      </c>
      <c r="C22" s="14" t="s">
        <v>39</v>
      </c>
      <c r="D22" s="15">
        <v>9785</v>
      </c>
      <c r="E22" s="16">
        <v>9700</v>
      </c>
      <c r="F22" s="22">
        <f t="shared" si="0"/>
        <v>8.6867654573326517E-3</v>
      </c>
    </row>
    <row r="23" spans="2:6" x14ac:dyDescent="0.4">
      <c r="B23" s="13">
        <v>42439</v>
      </c>
      <c r="C23" s="14" t="s">
        <v>40</v>
      </c>
      <c r="D23" s="15">
        <v>45897</v>
      </c>
      <c r="E23" s="16">
        <v>45600</v>
      </c>
      <c r="F23" s="22">
        <f t="shared" si="0"/>
        <v>6.471011177201124E-3</v>
      </c>
    </row>
    <row r="24" spans="2:6" ht="21.6" thickBot="1" x14ac:dyDescent="0.45">
      <c r="B24" s="17">
        <v>42441</v>
      </c>
      <c r="C24" s="18" t="s">
        <v>41</v>
      </c>
      <c r="D24" s="19">
        <v>58550</v>
      </c>
      <c r="E24" s="20">
        <v>60000</v>
      </c>
      <c r="F24" s="23">
        <f t="shared" si="0"/>
        <v>2.4765157984628524E-2</v>
      </c>
    </row>
  </sheetData>
  <mergeCells count="1">
    <mergeCell ref="B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DeleteBlankRowsInTable">
                <anchor moveWithCells="1" sizeWithCells="1">
                  <from>
                    <xdr:col>6</xdr:col>
                    <xdr:colOff>259080</xdr:colOff>
                    <xdr:row>0</xdr:row>
                    <xdr:rowOff>76200</xdr:rowOff>
                  </from>
                  <to>
                    <xdr:col>8</xdr:col>
                    <xdr:colOff>342900</xdr:colOff>
                    <xdr:row>2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C171-E8A3-4BF8-879F-F7A0CFEEFD4F}">
  <sheetPr codeName="Sheet3"/>
  <dimension ref="C2:E29"/>
  <sheetViews>
    <sheetView workbookViewId="0">
      <selection activeCell="H10" sqref="H10"/>
    </sheetView>
  </sheetViews>
  <sheetFormatPr defaultRowHeight="21" x14ac:dyDescent="0.4"/>
  <cols>
    <col min="1" max="2" width="8.88671875" style="1"/>
    <col min="3" max="3" width="11" style="3" bestFit="1" customWidth="1"/>
    <col min="4" max="4" width="16.6640625" style="3" bestFit="1" customWidth="1"/>
    <col min="5" max="5" width="16.88671875" style="3" bestFit="1" customWidth="1"/>
    <col min="6" max="16384" width="8.88671875" style="1"/>
  </cols>
  <sheetData>
    <row r="2" spans="3:5" ht="21.6" thickBot="1" x14ac:dyDescent="0.45">
      <c r="C2" s="4"/>
      <c r="D2" s="4"/>
      <c r="E2" s="4"/>
    </row>
    <row r="3" spans="3:5" ht="21.6" thickTop="1" x14ac:dyDescent="0.4">
      <c r="C3" s="6" t="s">
        <v>0</v>
      </c>
      <c r="D3" s="7" t="s">
        <v>1</v>
      </c>
      <c r="E3" s="8" t="s">
        <v>2</v>
      </c>
    </row>
    <row r="4" spans="3:5" x14ac:dyDescent="0.4">
      <c r="C4" s="81">
        <v>1</v>
      </c>
      <c r="D4" s="3" t="s">
        <v>3</v>
      </c>
      <c r="E4" s="5" t="s">
        <v>4</v>
      </c>
    </row>
    <row r="5" spans="3:5" x14ac:dyDescent="0.4">
      <c r="C5" s="81">
        <v>2</v>
      </c>
      <c r="D5" s="3" t="s">
        <v>5</v>
      </c>
      <c r="E5" s="5" t="s">
        <v>6</v>
      </c>
    </row>
    <row r="6" spans="3:5" x14ac:dyDescent="0.4">
      <c r="C6" s="81">
        <v>3</v>
      </c>
      <c r="D6" s="3" t="s">
        <v>7</v>
      </c>
      <c r="E6" s="5" t="s">
        <v>8</v>
      </c>
    </row>
    <row r="7" spans="3:5" x14ac:dyDescent="0.4">
      <c r="C7" s="81">
        <v>4</v>
      </c>
      <c r="D7" s="3" t="s">
        <v>9</v>
      </c>
      <c r="E7" s="5" t="s">
        <v>10</v>
      </c>
    </row>
    <row r="8" spans="3:5" x14ac:dyDescent="0.4">
      <c r="C8" s="30">
        <v>1</v>
      </c>
      <c r="D8" s="31" t="s">
        <v>3</v>
      </c>
      <c r="E8" s="32" t="s">
        <v>4</v>
      </c>
    </row>
    <row r="9" spans="3:5" x14ac:dyDescent="0.4">
      <c r="C9" s="30">
        <v>2</v>
      </c>
      <c r="D9" s="31" t="s">
        <v>5</v>
      </c>
      <c r="E9" s="32" t="s">
        <v>6</v>
      </c>
    </row>
    <row r="10" spans="3:5" x14ac:dyDescent="0.4">
      <c r="C10" s="30">
        <v>3</v>
      </c>
      <c r="D10" s="31" t="s">
        <v>7</v>
      </c>
      <c r="E10" s="32" t="s">
        <v>8</v>
      </c>
    </row>
    <row r="11" spans="3:5" x14ac:dyDescent="0.4">
      <c r="C11" s="30">
        <v>1</v>
      </c>
      <c r="D11" s="31" t="s">
        <v>3</v>
      </c>
      <c r="E11" s="32" t="s">
        <v>4</v>
      </c>
    </row>
    <row r="12" spans="3:5" x14ac:dyDescent="0.4">
      <c r="C12" s="30">
        <v>2</v>
      </c>
      <c r="D12" s="31" t="s">
        <v>5</v>
      </c>
      <c r="E12" s="32" t="s">
        <v>6</v>
      </c>
    </row>
    <row r="13" spans="3:5" x14ac:dyDescent="0.4">
      <c r="C13" s="30">
        <v>3</v>
      </c>
      <c r="D13" s="31" t="s">
        <v>7</v>
      </c>
      <c r="E13" s="32" t="s">
        <v>8</v>
      </c>
    </row>
    <row r="14" spans="3:5" x14ac:dyDescent="0.4">
      <c r="C14" s="30">
        <v>1</v>
      </c>
      <c r="D14" s="31" t="s">
        <v>3</v>
      </c>
      <c r="E14" s="32" t="s">
        <v>4</v>
      </c>
    </row>
    <row r="15" spans="3:5" x14ac:dyDescent="0.4">
      <c r="C15" s="30">
        <v>4</v>
      </c>
      <c r="D15" s="31" t="s">
        <v>9</v>
      </c>
      <c r="E15" s="32" t="s">
        <v>10</v>
      </c>
    </row>
    <row r="16" spans="3:5" x14ac:dyDescent="0.4">
      <c r="C16" s="30">
        <v>2</v>
      </c>
      <c r="D16" s="31" t="s">
        <v>5</v>
      </c>
      <c r="E16" s="32" t="s">
        <v>6</v>
      </c>
    </row>
    <row r="17" spans="3:5" x14ac:dyDescent="0.4">
      <c r="C17" s="30">
        <v>1</v>
      </c>
      <c r="D17" s="31" t="s">
        <v>3</v>
      </c>
      <c r="E17" s="32" t="s">
        <v>4</v>
      </c>
    </row>
    <row r="18" spans="3:5" x14ac:dyDescent="0.4">
      <c r="C18" s="30">
        <v>3</v>
      </c>
      <c r="D18" s="31" t="s">
        <v>7</v>
      </c>
      <c r="E18" s="32" t="s">
        <v>8</v>
      </c>
    </row>
    <row r="19" spans="3:5" x14ac:dyDescent="0.4">
      <c r="C19" s="30">
        <v>4</v>
      </c>
      <c r="D19" s="31" t="s">
        <v>9</v>
      </c>
      <c r="E19" s="32" t="s">
        <v>10</v>
      </c>
    </row>
    <row r="20" spans="3:5" x14ac:dyDescent="0.4">
      <c r="C20" s="81">
        <v>5</v>
      </c>
      <c r="D20" s="3" t="s">
        <v>11</v>
      </c>
      <c r="E20" s="5" t="s">
        <v>8</v>
      </c>
    </row>
    <row r="21" spans="3:5" x14ac:dyDescent="0.4">
      <c r="C21" s="30">
        <v>4</v>
      </c>
      <c r="D21" s="31" t="s">
        <v>9</v>
      </c>
      <c r="E21" s="32" t="s">
        <v>10</v>
      </c>
    </row>
    <row r="22" spans="3:5" x14ac:dyDescent="0.4">
      <c r="C22" s="30">
        <v>2</v>
      </c>
      <c r="D22" s="31" t="s">
        <v>5</v>
      </c>
      <c r="E22" s="32" t="s">
        <v>6</v>
      </c>
    </row>
    <row r="23" spans="3:5" x14ac:dyDescent="0.4">
      <c r="C23" s="30">
        <v>1</v>
      </c>
      <c r="D23" s="31" t="s">
        <v>3</v>
      </c>
      <c r="E23" s="32" t="s">
        <v>4</v>
      </c>
    </row>
    <row r="24" spans="3:5" x14ac:dyDescent="0.4">
      <c r="C24" s="81">
        <v>6</v>
      </c>
      <c r="D24" s="3" t="s">
        <v>12</v>
      </c>
      <c r="E24" s="5" t="s">
        <v>13</v>
      </c>
    </row>
    <row r="25" spans="3:5" x14ac:dyDescent="0.4">
      <c r="C25" s="81">
        <v>7</v>
      </c>
      <c r="D25" s="3" t="s">
        <v>14</v>
      </c>
      <c r="E25" s="5" t="s">
        <v>15</v>
      </c>
    </row>
    <row r="26" spans="3:5" x14ac:dyDescent="0.4">
      <c r="C26" s="30">
        <v>6</v>
      </c>
      <c r="D26" s="31" t="s">
        <v>12</v>
      </c>
      <c r="E26" s="32" t="s">
        <v>13</v>
      </c>
    </row>
    <row r="27" spans="3:5" x14ac:dyDescent="0.4">
      <c r="C27" s="30">
        <v>1</v>
      </c>
      <c r="D27" s="31" t="s">
        <v>3</v>
      </c>
      <c r="E27" s="32" t="s">
        <v>4</v>
      </c>
    </row>
    <row r="28" spans="3:5" ht="21.6" thickBot="1" x14ac:dyDescent="0.45">
      <c r="C28" s="33">
        <v>2</v>
      </c>
      <c r="D28" s="34" t="s">
        <v>5</v>
      </c>
      <c r="E28" s="35" t="s">
        <v>6</v>
      </c>
    </row>
    <row r="29" spans="3:5" ht="21.6" thickTop="1" x14ac:dyDescent="0.4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heet3.MarkDuplicateRows">
                <anchor moveWithCells="1" sizeWithCells="1">
                  <from>
                    <xdr:col>6</xdr:col>
                    <xdr:colOff>419100</xdr:colOff>
                    <xdr:row>2</xdr:row>
                    <xdr:rowOff>7620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19F48-FE4C-4546-8B8D-CCA183ACC024}">
  <sheetPr codeName="Sheet2"/>
  <dimension ref="B1:J12"/>
  <sheetViews>
    <sheetView workbookViewId="0">
      <selection activeCell="B15" sqref="B15"/>
    </sheetView>
  </sheetViews>
  <sheetFormatPr defaultRowHeight="25.2" x14ac:dyDescent="0.45"/>
  <cols>
    <col min="1" max="1" width="8.88671875" style="37"/>
    <col min="2" max="2" width="27.44140625" style="37" bestFit="1" customWidth="1"/>
    <col min="3" max="8" width="11.21875" style="42" bestFit="1" customWidth="1"/>
    <col min="9" max="9" width="12.44140625" style="42" bestFit="1" customWidth="1"/>
    <col min="10" max="10" width="11.33203125" style="42" customWidth="1"/>
    <col min="11" max="16384" width="8.88671875" style="37"/>
  </cols>
  <sheetData>
    <row r="1" spans="2:10" ht="25.8" thickBot="1" x14ac:dyDescent="0.5"/>
    <row r="2" spans="2:10" ht="25.8" thickBot="1" x14ac:dyDescent="0.5">
      <c r="B2" s="77" t="s">
        <v>42</v>
      </c>
      <c r="C2" s="78"/>
      <c r="D2" s="78"/>
      <c r="E2" s="78"/>
      <c r="F2" s="78"/>
      <c r="G2" s="78"/>
      <c r="H2" s="78"/>
      <c r="I2" s="78"/>
      <c r="J2" s="79"/>
    </row>
    <row r="3" spans="2:10" ht="25.8" thickBot="1" x14ac:dyDescent="0.5">
      <c r="B3" s="63"/>
      <c r="C3" s="64"/>
      <c r="D3" s="64"/>
      <c r="E3" s="64"/>
      <c r="F3" s="64"/>
      <c r="G3" s="64"/>
      <c r="H3" s="64"/>
      <c r="I3" s="64"/>
      <c r="J3" s="64"/>
    </row>
    <row r="4" spans="2:10" ht="31.8" thickBot="1" x14ac:dyDescent="0.5">
      <c r="B4" s="38" t="s">
        <v>43</v>
      </c>
      <c r="C4" s="43" t="s">
        <v>44</v>
      </c>
      <c r="D4" s="43" t="s">
        <v>45</v>
      </c>
      <c r="E4" s="43" t="s">
        <v>46</v>
      </c>
      <c r="F4" s="43" t="s">
        <v>47</v>
      </c>
      <c r="G4" s="43" t="s">
        <v>48</v>
      </c>
      <c r="H4" s="43" t="s">
        <v>49</v>
      </c>
      <c r="I4" s="43" t="s">
        <v>50</v>
      </c>
      <c r="J4" s="44" t="s">
        <v>51</v>
      </c>
    </row>
    <row r="5" spans="2:10" x14ac:dyDescent="0.45">
      <c r="B5" s="39" t="s">
        <v>61</v>
      </c>
      <c r="C5" s="45">
        <v>1525.32</v>
      </c>
      <c r="D5" s="46">
        <v>1615.36</v>
      </c>
      <c r="E5" s="46">
        <v>1212.28</v>
      </c>
      <c r="F5" s="46">
        <v>988.16</v>
      </c>
      <c r="G5" s="46">
        <v>1641.33</v>
      </c>
      <c r="H5" s="46">
        <v>1728.15</v>
      </c>
      <c r="I5" s="57">
        <f>SUM(C5:H5)</f>
        <v>8710.6</v>
      </c>
      <c r="J5" s="47">
        <f t="shared" ref="J5:J9" si="0">I5/I$11</f>
        <v>0.25447246175361227</v>
      </c>
    </row>
    <row r="6" spans="2:10" x14ac:dyDescent="0.45">
      <c r="B6" s="39" t="s">
        <v>62</v>
      </c>
      <c r="C6" s="48">
        <v>651.12</v>
      </c>
      <c r="D6" s="49">
        <v>520.36</v>
      </c>
      <c r="E6" s="49">
        <v>690.65</v>
      </c>
      <c r="F6" s="49">
        <v>786.85</v>
      </c>
      <c r="G6" s="49">
        <v>1550.87</v>
      </c>
      <c r="H6" s="49">
        <v>2315.41</v>
      </c>
      <c r="I6" s="58">
        <f>SUM(C6:H6)</f>
        <v>6515.26</v>
      </c>
      <c r="J6" s="50">
        <f t="shared" si="0"/>
        <v>0.19033754863784813</v>
      </c>
    </row>
    <row r="7" spans="2:10" x14ac:dyDescent="0.45">
      <c r="B7" s="39" t="s">
        <v>63</v>
      </c>
      <c r="C7" s="48">
        <v>1895.32</v>
      </c>
      <c r="D7" s="49">
        <v>1852.36</v>
      </c>
      <c r="E7" s="49">
        <v>1654.52</v>
      </c>
      <c r="F7" s="49">
        <v>1415.74</v>
      </c>
      <c r="G7" s="49">
        <v>1356.54</v>
      </c>
      <c r="H7" s="49">
        <v>952.65</v>
      </c>
      <c r="I7" s="58">
        <f>SUM(C7:H7)</f>
        <v>9127.1299999999992</v>
      </c>
      <c r="J7" s="50">
        <f t="shared" si="0"/>
        <v>0.26664101667453988</v>
      </c>
    </row>
    <row r="8" spans="2:10" x14ac:dyDescent="0.45">
      <c r="B8" s="39" t="s">
        <v>52</v>
      </c>
      <c r="C8" s="48">
        <v>788.12</v>
      </c>
      <c r="D8" s="49">
        <v>800.65</v>
      </c>
      <c r="E8" s="49">
        <v>850.58</v>
      </c>
      <c r="F8" s="49">
        <v>814.54</v>
      </c>
      <c r="G8" s="49">
        <v>754.69</v>
      </c>
      <c r="H8" s="49">
        <v>825.63</v>
      </c>
      <c r="I8" s="58">
        <f>SUM(C8:H8)</f>
        <v>4834.21</v>
      </c>
      <c r="J8" s="50">
        <f t="shared" si="0"/>
        <v>0.14122716223152595</v>
      </c>
    </row>
    <row r="9" spans="2:10" ht="25.8" thickBot="1" x14ac:dyDescent="0.5">
      <c r="B9" s="40" t="s">
        <v>53</v>
      </c>
      <c r="C9" s="51">
        <v>820.65</v>
      </c>
      <c r="D9" s="52">
        <v>750.4</v>
      </c>
      <c r="E9" s="52">
        <v>789.75</v>
      </c>
      <c r="F9" s="52">
        <v>810.4</v>
      </c>
      <c r="G9" s="52">
        <v>890.85</v>
      </c>
      <c r="H9" s="52">
        <v>980.78</v>
      </c>
      <c r="I9" s="59">
        <f>SUM(C9:H9)</f>
        <v>5042.83</v>
      </c>
      <c r="J9" s="53">
        <f t="shared" si="0"/>
        <v>0.14732181070247383</v>
      </c>
    </row>
    <row r="10" spans="2:10" ht="25.8" thickBot="1" x14ac:dyDescent="0.5">
      <c r="B10" s="63"/>
      <c r="C10" s="64"/>
      <c r="D10" s="64"/>
      <c r="E10" s="64"/>
      <c r="F10" s="64"/>
      <c r="G10" s="64"/>
      <c r="H10" s="64"/>
      <c r="I10" s="65"/>
      <c r="J10" s="64"/>
    </row>
    <row r="11" spans="2:10" x14ac:dyDescent="0.45">
      <c r="B11" s="41" t="s">
        <v>50</v>
      </c>
      <c r="C11" s="61">
        <f t="shared" ref="C11:J11" si="1">SUM(C5:C9)</f>
        <v>5680.53</v>
      </c>
      <c r="D11" s="60">
        <f t="shared" si="1"/>
        <v>5539.1299999999992</v>
      </c>
      <c r="E11" s="60">
        <f t="shared" si="1"/>
        <v>5197.78</v>
      </c>
      <c r="F11" s="60">
        <f t="shared" si="1"/>
        <v>4815.6899999999996</v>
      </c>
      <c r="G11" s="60">
        <f t="shared" si="1"/>
        <v>6194.2800000000007</v>
      </c>
      <c r="H11" s="60">
        <f t="shared" si="1"/>
        <v>6802.62</v>
      </c>
      <c r="I11" s="60">
        <f t="shared" si="1"/>
        <v>34230.03</v>
      </c>
      <c r="J11" s="62">
        <f t="shared" si="1"/>
        <v>1</v>
      </c>
    </row>
    <row r="12" spans="2:10" ht="25.8" thickBot="1" x14ac:dyDescent="0.5">
      <c r="B12" s="40" t="s">
        <v>51</v>
      </c>
      <c r="C12" s="54">
        <f t="shared" ref="C12:I12" si="2">C11/total__ca</f>
        <v>0.1659516512255467</v>
      </c>
      <c r="D12" s="55">
        <f t="shared" si="2"/>
        <v>0.16182077550034282</v>
      </c>
      <c r="E12" s="55">
        <f t="shared" si="2"/>
        <v>0.15184853767291467</v>
      </c>
      <c r="F12" s="55">
        <f t="shared" si="2"/>
        <v>0.14068611683951196</v>
      </c>
      <c r="G12" s="55">
        <f t="shared" si="2"/>
        <v>0.18096040231340729</v>
      </c>
      <c r="H12" s="55">
        <f t="shared" si="2"/>
        <v>0.19873251644827655</v>
      </c>
      <c r="I12" s="55">
        <f t="shared" si="2"/>
        <v>1</v>
      </c>
      <c r="J12" s="56"/>
    </row>
  </sheetData>
  <mergeCells count="1">
    <mergeCell ref="B2:J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CD467-5876-4955-A016-CF3BEC18D16E}">
  <sheetPr codeName="Sheet4"/>
  <dimension ref="B1:J41"/>
  <sheetViews>
    <sheetView zoomScale="110" zoomScaleNormal="110" workbookViewId="0">
      <selection activeCell="K3" sqref="K3"/>
    </sheetView>
  </sheetViews>
  <sheetFormatPr defaultRowHeight="18" x14ac:dyDescent="0.35"/>
  <cols>
    <col min="1" max="5" width="8.88671875" style="36"/>
    <col min="6" max="6" width="2.77734375" style="36" bestFit="1" customWidth="1"/>
    <col min="7" max="7" width="8.88671875" style="36"/>
    <col min="8" max="8" width="7" style="36" customWidth="1"/>
    <col min="9" max="9" width="17.88671875" style="36" customWidth="1"/>
    <col min="10" max="10" width="52.44140625" style="36" customWidth="1"/>
    <col min="11" max="16384" width="8.88671875" style="36"/>
  </cols>
  <sheetData>
    <row r="1" spans="2:10" ht="19.2" thickTop="1" thickBot="1" x14ac:dyDescent="0.4">
      <c r="I1" s="80" t="s">
        <v>66</v>
      </c>
      <c r="J1" s="69" t="s">
        <v>75</v>
      </c>
    </row>
    <row r="2" spans="2:10" ht="19.2" thickTop="1" thickBot="1" x14ac:dyDescent="0.4">
      <c r="I2" s="71" t="s">
        <v>64</v>
      </c>
      <c r="J2" s="69" t="s">
        <v>76</v>
      </c>
    </row>
    <row r="3" spans="2:10" ht="19.2" thickTop="1" thickBot="1" x14ac:dyDescent="0.4">
      <c r="I3" s="73" t="s">
        <v>65</v>
      </c>
      <c r="J3" s="70" t="s">
        <v>75</v>
      </c>
    </row>
    <row r="4" spans="2:10" ht="18.600000000000001" thickTop="1" x14ac:dyDescent="0.35">
      <c r="B4" s="66"/>
      <c r="C4" s="66"/>
      <c r="D4" s="66"/>
    </row>
    <row r="5" spans="2:10" x14ac:dyDescent="0.35">
      <c r="B5" s="67" t="s">
        <v>22</v>
      </c>
      <c r="C5" s="67" t="s">
        <v>73</v>
      </c>
      <c r="D5" s="67" t="s">
        <v>22</v>
      </c>
    </row>
    <row r="6" spans="2:10" x14ac:dyDescent="0.35">
      <c r="B6" s="67" t="s">
        <v>23</v>
      </c>
      <c r="C6" s="67" t="s">
        <v>27</v>
      </c>
      <c r="D6" s="67" t="s">
        <v>23</v>
      </c>
    </row>
    <row r="7" spans="2:10" x14ac:dyDescent="0.35">
      <c r="B7" s="67" t="s">
        <v>24</v>
      </c>
      <c r="C7" s="67" t="s">
        <v>28</v>
      </c>
      <c r="D7" s="67" t="s">
        <v>24</v>
      </c>
    </row>
    <row r="8" spans="2:10" x14ac:dyDescent="0.35">
      <c r="B8" s="67" t="s">
        <v>25</v>
      </c>
      <c r="C8" s="67" t="s">
        <v>70</v>
      </c>
      <c r="D8" s="67" t="s">
        <v>25</v>
      </c>
    </row>
    <row r="9" spans="2:10" x14ac:dyDescent="0.35">
      <c r="B9" s="67" t="s">
        <v>26</v>
      </c>
      <c r="C9" s="67" t="s">
        <v>24</v>
      </c>
      <c r="D9" s="67" t="s">
        <v>26</v>
      </c>
    </row>
    <row r="10" spans="2:10" x14ac:dyDescent="0.35">
      <c r="B10" s="67" t="s">
        <v>27</v>
      </c>
      <c r="C10" s="67" t="s">
        <v>31</v>
      </c>
      <c r="D10" s="67" t="s">
        <v>27</v>
      </c>
    </row>
    <row r="11" spans="2:10" ht="18.600000000000001" thickBot="1" x14ac:dyDescent="0.4">
      <c r="B11" s="67" t="s">
        <v>28</v>
      </c>
      <c r="C11" s="67" t="s">
        <v>67</v>
      </c>
      <c r="D11" s="67" t="s">
        <v>28</v>
      </c>
    </row>
    <row r="12" spans="2:10" ht="19.2" thickTop="1" thickBot="1" x14ac:dyDescent="0.4">
      <c r="B12" s="67" t="s">
        <v>29</v>
      </c>
      <c r="C12" s="67" t="s">
        <v>29</v>
      </c>
      <c r="D12" s="67" t="s">
        <v>29</v>
      </c>
      <c r="F12" s="71" t="s">
        <v>30</v>
      </c>
      <c r="G12" s="68" t="str">
        <f>VLOOKUP(F12,$B$5:$D$41,2,FALSE)</f>
        <v>R</v>
      </c>
    </row>
    <row r="13" spans="2:10" ht="19.2" thickTop="1" thickBot="1" x14ac:dyDescent="0.4">
      <c r="B13" s="67" t="s">
        <v>30</v>
      </c>
      <c r="C13" s="67" t="s">
        <v>39</v>
      </c>
      <c r="D13" s="67" t="s">
        <v>30</v>
      </c>
      <c r="F13" s="72" t="s">
        <v>39</v>
      </c>
      <c r="G13" s="68" t="str">
        <f>VLOOKUP(F13,$C$5:$D$41,2,FALSE)</f>
        <v>I</v>
      </c>
    </row>
    <row r="14" spans="2:10" ht="18.600000000000001" thickTop="1" x14ac:dyDescent="0.35">
      <c r="B14" s="67" t="s">
        <v>31</v>
      </c>
      <c r="C14" s="67" t="s">
        <v>25</v>
      </c>
      <c r="D14" s="67" t="s">
        <v>31</v>
      </c>
    </row>
    <row r="15" spans="2:10" x14ac:dyDescent="0.35">
      <c r="B15" s="67" t="s">
        <v>32</v>
      </c>
      <c r="C15" s="67" t="s">
        <v>69</v>
      </c>
      <c r="D15" s="67" t="s">
        <v>32</v>
      </c>
    </row>
    <row r="16" spans="2:10" x14ac:dyDescent="0.35">
      <c r="B16" s="67" t="s">
        <v>33</v>
      </c>
      <c r="C16" s="67" t="s">
        <v>35</v>
      </c>
      <c r="D16" s="67" t="s">
        <v>33</v>
      </c>
    </row>
    <row r="17" spans="2:4" x14ac:dyDescent="0.35">
      <c r="B17" s="67" t="s">
        <v>34</v>
      </c>
      <c r="C17" s="67" t="s">
        <v>54</v>
      </c>
      <c r="D17" s="67" t="s">
        <v>34</v>
      </c>
    </row>
    <row r="18" spans="2:4" x14ac:dyDescent="0.35">
      <c r="B18" s="67" t="s">
        <v>35</v>
      </c>
      <c r="C18" s="67" t="s">
        <v>55</v>
      </c>
      <c r="D18" s="67" t="s">
        <v>35</v>
      </c>
    </row>
    <row r="19" spans="2:4" x14ac:dyDescent="0.35">
      <c r="B19" s="67" t="s">
        <v>36</v>
      </c>
      <c r="C19" s="67" t="s">
        <v>68</v>
      </c>
      <c r="D19" s="67" t="s">
        <v>36</v>
      </c>
    </row>
    <row r="20" spans="2:4" x14ac:dyDescent="0.35">
      <c r="B20" s="67" t="s">
        <v>37</v>
      </c>
      <c r="C20" s="67" t="s">
        <v>37</v>
      </c>
      <c r="D20" s="67" t="s">
        <v>37</v>
      </c>
    </row>
    <row r="21" spans="2:4" x14ac:dyDescent="0.35">
      <c r="B21" s="67" t="s">
        <v>38</v>
      </c>
      <c r="C21" s="67" t="s">
        <v>41</v>
      </c>
      <c r="D21" s="67" t="s">
        <v>38</v>
      </c>
    </row>
    <row r="22" spans="2:4" x14ac:dyDescent="0.35">
      <c r="B22" s="67" t="s">
        <v>39</v>
      </c>
      <c r="C22" s="67" t="s">
        <v>56</v>
      </c>
      <c r="D22" s="67" t="s">
        <v>39</v>
      </c>
    </row>
    <row r="23" spans="2:4" x14ac:dyDescent="0.35">
      <c r="B23" s="67" t="s">
        <v>40</v>
      </c>
      <c r="C23" s="67" t="s">
        <v>57</v>
      </c>
      <c r="D23" s="67" t="s">
        <v>40</v>
      </c>
    </row>
    <row r="24" spans="2:4" x14ac:dyDescent="0.35">
      <c r="B24" s="67" t="s">
        <v>41</v>
      </c>
      <c r="C24" s="67" t="s">
        <v>58</v>
      </c>
      <c r="D24" s="67" t="s">
        <v>41</v>
      </c>
    </row>
    <row r="25" spans="2:4" x14ac:dyDescent="0.35">
      <c r="B25" s="67" t="s">
        <v>56</v>
      </c>
      <c r="C25" s="67" t="s">
        <v>36</v>
      </c>
      <c r="D25" s="67" t="s">
        <v>56</v>
      </c>
    </row>
    <row r="26" spans="2:4" x14ac:dyDescent="0.35">
      <c r="B26" s="67" t="s">
        <v>59</v>
      </c>
      <c r="C26" s="67" t="s">
        <v>72</v>
      </c>
      <c r="D26" s="67" t="s">
        <v>59</v>
      </c>
    </row>
    <row r="27" spans="2:4" x14ac:dyDescent="0.35">
      <c r="B27" s="67" t="s">
        <v>58</v>
      </c>
      <c r="C27" s="67" t="s">
        <v>40</v>
      </c>
      <c r="D27" s="67" t="s">
        <v>58</v>
      </c>
    </row>
    <row r="28" spans="2:4" x14ac:dyDescent="0.35">
      <c r="B28" s="67" t="s">
        <v>54</v>
      </c>
      <c r="C28" s="67" t="s">
        <v>34</v>
      </c>
      <c r="D28" s="67" t="s">
        <v>54</v>
      </c>
    </row>
    <row r="29" spans="2:4" x14ac:dyDescent="0.35">
      <c r="B29" s="67" t="s">
        <v>55</v>
      </c>
      <c r="C29" s="67" t="s">
        <v>59</v>
      </c>
      <c r="D29" s="67" t="s">
        <v>55</v>
      </c>
    </row>
    <row r="30" spans="2:4" x14ac:dyDescent="0.35">
      <c r="B30" s="67" t="s">
        <v>57</v>
      </c>
      <c r="C30" s="67" t="s">
        <v>32</v>
      </c>
      <c r="D30" s="67" t="s">
        <v>57</v>
      </c>
    </row>
    <row r="31" spans="2:4" x14ac:dyDescent="0.35">
      <c r="B31" s="67">
        <v>0</v>
      </c>
      <c r="C31" s="67">
        <v>2</v>
      </c>
      <c r="D31" s="67">
        <v>0</v>
      </c>
    </row>
    <row r="32" spans="2:4" x14ac:dyDescent="0.35">
      <c r="B32" s="67">
        <v>1</v>
      </c>
      <c r="C32" s="67">
        <v>3</v>
      </c>
      <c r="D32" s="67">
        <v>1</v>
      </c>
    </row>
    <row r="33" spans="2:4" x14ac:dyDescent="0.35">
      <c r="B33" s="67">
        <v>2</v>
      </c>
      <c r="C33" s="67" t="s">
        <v>71</v>
      </c>
      <c r="D33" s="67">
        <v>2</v>
      </c>
    </row>
    <row r="34" spans="2:4" x14ac:dyDescent="0.35">
      <c r="B34" s="67">
        <v>3</v>
      </c>
      <c r="C34" s="67">
        <v>8</v>
      </c>
      <c r="D34" s="67">
        <v>3</v>
      </c>
    </row>
    <row r="35" spans="2:4" x14ac:dyDescent="0.35">
      <c r="B35" s="67">
        <v>4</v>
      </c>
      <c r="C35" s="67">
        <v>1</v>
      </c>
      <c r="D35" s="67">
        <v>4</v>
      </c>
    </row>
    <row r="36" spans="2:4" x14ac:dyDescent="0.35">
      <c r="B36" s="67">
        <v>5</v>
      </c>
      <c r="C36" s="67">
        <v>6</v>
      </c>
      <c r="D36" s="67">
        <v>5</v>
      </c>
    </row>
    <row r="37" spans="2:4" x14ac:dyDescent="0.35">
      <c r="B37" s="67">
        <v>6</v>
      </c>
      <c r="C37" s="67">
        <v>9</v>
      </c>
      <c r="D37" s="67">
        <v>6</v>
      </c>
    </row>
    <row r="38" spans="2:4" x14ac:dyDescent="0.35">
      <c r="B38" s="67">
        <v>7</v>
      </c>
      <c r="C38" s="67">
        <v>7</v>
      </c>
      <c r="D38" s="67">
        <v>7</v>
      </c>
    </row>
    <row r="39" spans="2:4" x14ac:dyDescent="0.35">
      <c r="B39" s="67">
        <v>8</v>
      </c>
      <c r="C39" s="67">
        <v>5</v>
      </c>
      <c r="D39" s="67">
        <v>8</v>
      </c>
    </row>
    <row r="40" spans="2:4" x14ac:dyDescent="0.35">
      <c r="B40" s="67">
        <v>9</v>
      </c>
      <c r="C40" s="67">
        <v>0</v>
      </c>
      <c r="D40" s="67">
        <v>9</v>
      </c>
    </row>
    <row r="41" spans="2:4" x14ac:dyDescent="0.35">
      <c r="B41" s="67" t="s">
        <v>60</v>
      </c>
      <c r="C41" s="67" t="s">
        <v>74</v>
      </c>
      <c r="D41" s="67" t="s">
        <v>60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eet4.EncodeMessage">
                <anchor moveWithCells="1" sizeWithCells="1">
                  <from>
                    <xdr:col>8</xdr:col>
                    <xdr:colOff>7620</xdr:colOff>
                    <xdr:row>1</xdr:row>
                    <xdr:rowOff>15240</xdr:rowOff>
                  </from>
                  <to>
                    <xdr:col>9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Sheet4.DecodeMessage" altText="DECODE">
                <anchor moveWithCells="1" sizeWithCells="1">
                  <from>
                    <xdr:col>8</xdr:col>
                    <xdr:colOff>15240</xdr:colOff>
                    <xdr:row>2</xdr:row>
                    <xdr:rowOff>7620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Empty Line</vt:lpstr>
      <vt:lpstr>Duplicate</vt:lpstr>
      <vt:lpstr>CA</vt:lpstr>
      <vt:lpstr>Encode</vt:lpstr>
      <vt:lpstr>total__ca</vt:lpstr>
      <vt:lpstr>total_ca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Farius</dc:creator>
  <cp:lastModifiedBy>Farius Aina</cp:lastModifiedBy>
  <dcterms:created xsi:type="dcterms:W3CDTF">2015-06-05T18:17:20Z</dcterms:created>
  <dcterms:modified xsi:type="dcterms:W3CDTF">2026-01-18T14:24:02Z</dcterms:modified>
</cp:coreProperties>
</file>