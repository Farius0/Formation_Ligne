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inau\Downloads\Microsoft\Excel\"/>
    </mc:Choice>
  </mc:AlternateContent>
  <xr:revisionPtr revIDLastSave="0" documentId="13_ncr:1_{FAA6D86F-BDAA-45C4-BA9F-554577ABFC9C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Bill" sheetId="1" r:id="rId1"/>
    <sheet name="articles" sheetId="2" r:id="rId2"/>
    <sheet name="Budget prévisionnel" sheetId="4" r:id="rId3"/>
    <sheet name="Salariés" sheetId="5" r:id="rId4"/>
    <sheet name="Tests" sheetId="3" state="hidden" r:id="rId5"/>
  </sheets>
  <functionGroups builtInGroupCount="19"/>
  <definedNames>
    <definedName name="_xleta.AN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4" l="1"/>
  <c r="D14" i="4"/>
  <c r="C14" i="4"/>
  <c r="F13" i="4"/>
  <c r="F12" i="4"/>
  <c r="F11" i="4"/>
  <c r="F10" i="4"/>
  <c r="F9" i="4"/>
  <c r="F17" i="5" a="1"/>
  <c r="F11" i="5" a="1"/>
  <c r="H12" i="4" a="1"/>
  <c r="F13" i="5" a="1"/>
  <c r="F10" i="5" a="1"/>
  <c r="H9" i="4" a="1"/>
  <c r="F9" i="5" a="1"/>
  <c r="F15" i="5" a="1"/>
  <c r="F6" i="5" a="1"/>
  <c r="F7" i="5" a="1"/>
  <c r="F12" i="5" a="1"/>
  <c r="F16" i="5" a="1"/>
  <c r="F8" i="5" a="1"/>
  <c r="H10" i="4" a="1"/>
  <c r="H13" i="4" a="1"/>
  <c r="F14" i="5" a="1"/>
  <c r="H14" i="4" a="1"/>
  <c r="H11" i="4" a="1"/>
  <c r="F15" i="5" l="1"/>
  <c r="F10" i="5"/>
  <c r="F11" i="5"/>
  <c r="F16" i="5"/>
  <c r="F14" i="5"/>
  <c r="F7" i="5"/>
  <c r="F8" i="5"/>
  <c r="F12" i="5"/>
  <c r="F9" i="5"/>
  <c r="F13" i="5"/>
  <c r="F17" i="5"/>
  <c r="F6" i="5"/>
  <c r="H12" i="4"/>
  <c r="H11" i="4"/>
  <c r="H14" i="4"/>
  <c r="H13" i="4"/>
  <c r="H10" i="4"/>
  <c r="H9" i="4"/>
  <c r="F14" i="4"/>
  <c r="G13" i="4" s="1"/>
  <c r="F15" i="4" l="1"/>
  <c r="G14" i="4"/>
  <c r="G10" i="4"/>
  <c r="C15" i="4"/>
  <c r="E15" i="4"/>
  <c r="D15" i="4"/>
  <c r="G12" i="4"/>
  <c r="G9" i="4"/>
  <c r="G11" i="4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D7" i="1"/>
  <c r="F7" i="1" s="1"/>
  <c r="G7" i="1" s="1"/>
  <c r="D8" i="1"/>
  <c r="F8" i="1" s="1"/>
  <c r="G8" i="1" s="1"/>
  <c r="D9" i="1"/>
  <c r="F9" i="1" s="1"/>
  <c r="G9" i="1" s="1"/>
  <c r="D10" i="1"/>
  <c r="F10" i="1" s="1"/>
  <c r="G10" i="1" s="1"/>
  <c r="D11" i="1"/>
  <c r="F11" i="1" s="1"/>
  <c r="G11" i="1" s="1"/>
  <c r="D12" i="1"/>
  <c r="F12" i="1" s="1"/>
  <c r="G12" i="1" s="1"/>
  <c r="D13" i="1"/>
  <c r="F13" i="1" s="1"/>
  <c r="G13" i="1" s="1"/>
  <c r="D14" i="1"/>
  <c r="F14" i="1" s="1"/>
  <c r="G14" i="1" s="1"/>
  <c r="D15" i="1"/>
  <c r="D16" i="1"/>
  <c r="D17" i="1"/>
  <c r="D18" i="1"/>
  <c r="D19" i="1"/>
  <c r="D20" i="1"/>
  <c r="D21" i="1"/>
  <c r="D22" i="1"/>
  <c r="D23" i="1"/>
  <c r="D24" i="1"/>
  <c r="D25" i="1"/>
  <c r="D26" i="1"/>
  <c r="D6" i="1"/>
  <c r="K6" i="3" a="1"/>
  <c r="K6" i="3" s="1"/>
  <c r="F6" i="3" a="1"/>
  <c r="F6" i="3" s="1"/>
  <c r="F6" i="1" l="1"/>
  <c r="G6" i="1" s="1"/>
  <c r="G32" i="1" s="1"/>
  <c r="G35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tc={20FC13CD-D501-4E99-AE87-B326E5CBE733}</author>
  </authors>
  <commentList>
    <comment ref="E6" authorId="0" shapeId="0" xr:uid="{20FC13CD-D501-4E99-AE87-B326E5CBE73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do : Check the stock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<sst xmlns="http://schemas.openxmlformats.org/spreadsheetml/2006/main" count="79" uniqueCount="76">
  <si>
    <t>Code article</t>
  </si>
  <si>
    <t>Désignation</t>
  </si>
  <si>
    <t>Prix unitaire HT</t>
  </si>
  <si>
    <t>b001</t>
  </si>
  <si>
    <t>CAISSON PLUS 2 ARMOIRES 2 PORTES</t>
  </si>
  <si>
    <t>b002</t>
  </si>
  <si>
    <t xml:space="preserve">BUREAU MDF /1M40 </t>
  </si>
  <si>
    <t>b003</t>
  </si>
  <si>
    <t>TABLE POUR ORDINATEUR</t>
  </si>
  <si>
    <t>b004</t>
  </si>
  <si>
    <t>TABLE DE TRAVAIL 2M40 MDF</t>
  </si>
  <si>
    <t>b005</t>
  </si>
  <si>
    <t>BIBLIOTHEQUE 4PRTE</t>
  </si>
  <si>
    <t>b006</t>
  </si>
  <si>
    <t>ETAGERE DE RANGEMENT</t>
  </si>
  <si>
    <t>b007</t>
  </si>
  <si>
    <t>CHAISE ROUL</t>
  </si>
  <si>
    <t>b008</t>
  </si>
  <si>
    <t>CHAISE FIXE</t>
  </si>
  <si>
    <t>b009</t>
  </si>
  <si>
    <t>CHAISE EN BOIS</t>
  </si>
  <si>
    <t>Facturation</t>
  </si>
  <si>
    <t>Quantité</t>
  </si>
  <si>
    <t>P.U  -  H.T</t>
  </si>
  <si>
    <t>Montant   en  H.T</t>
  </si>
  <si>
    <t xml:space="preserve">     Montant  HT</t>
  </si>
  <si>
    <t xml:space="preserve">     TVA</t>
  </si>
  <si>
    <t xml:space="preserve">     Montant  TTC</t>
  </si>
  <si>
    <t>D e s i  g n a t i o n</t>
  </si>
  <si>
    <t>Stock</t>
  </si>
  <si>
    <t>b010</t>
  </si>
  <si>
    <t>BUDGET PREVISIONNEL</t>
  </si>
  <si>
    <t>Grenoble</t>
  </si>
  <si>
    <t>Taux de TVA</t>
  </si>
  <si>
    <t>POSTES</t>
  </si>
  <si>
    <t>JULLET</t>
  </si>
  <si>
    <t>AOUT</t>
  </si>
  <si>
    <t>SEPTEMBRE</t>
  </si>
  <si>
    <t>TRIMESTRE</t>
  </si>
  <si>
    <t>Part de
pourcentage</t>
  </si>
  <si>
    <t>TTC</t>
  </si>
  <si>
    <t>SALAIRES</t>
  </si>
  <si>
    <t>FOURNITURES</t>
  </si>
  <si>
    <t>EQUIPEMENT</t>
  </si>
  <si>
    <t>IMMOBILIER</t>
  </si>
  <si>
    <t>PUBLICITE</t>
  </si>
  <si>
    <t>TOTAL</t>
  </si>
  <si>
    <t>Part de pourcentage</t>
  </si>
  <si>
    <t>Liste des salariés</t>
  </si>
  <si>
    <t>MATRICULE</t>
  </si>
  <si>
    <t>NOM</t>
  </si>
  <si>
    <t>PRENOM</t>
  </si>
  <si>
    <t>DATE ENTREE</t>
  </si>
  <si>
    <t>Ancienneté</t>
  </si>
  <si>
    <t>DRAK</t>
  </si>
  <si>
    <t>Ulla</t>
  </si>
  <si>
    <t>AUDINE</t>
  </si>
  <si>
    <t>Anne</t>
  </si>
  <si>
    <t>HONDULAY</t>
  </si>
  <si>
    <t>Anatole</t>
  </si>
  <si>
    <t>DE PAUL</t>
  </si>
  <si>
    <t>Vincent</t>
  </si>
  <si>
    <t>HIBULAIRE</t>
  </si>
  <si>
    <t>Pat</t>
  </si>
  <si>
    <t>FERNAL</t>
  </si>
  <si>
    <t>Alain</t>
  </si>
  <si>
    <t>TRANSEN</t>
  </si>
  <si>
    <t>Jean</t>
  </si>
  <si>
    <t>LESBAINS</t>
  </si>
  <si>
    <t>Amélie</t>
  </si>
  <si>
    <t>PASBON</t>
  </si>
  <si>
    <t>HACHOU</t>
  </si>
  <si>
    <t>MAGNE</t>
  </si>
  <si>
    <t>Charles</t>
  </si>
  <si>
    <t>PONSABLE</t>
  </si>
  <si>
    <t>Thérèse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</si>
</sst>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_-* #,##0.00\ [$€-40C]_-;\-* #,##0.00\ [$€-40C]_-;_-* &quot;-&quot;??\ [$€-40C]_-;_-@_-"/>
    <numFmt numFmtId="165" formatCode="_-* #,##0.00\ _€_-;\-* #,##0.00\ _€_-;_-* &quot;-&quot;??\ _€_-;_-@_-"/>
    <numFmt numFmtId="166" formatCode="#,##0.00\ &quot;€&quot;;[Red]\-#,##0.00\ &quot;€&quot;"/>
    <numFmt numFmtId="167" formatCode="0.0%"/>
    <numFmt numFmtId="168" formatCode="#,##0.00\ &quot;€&quot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18"/>
      <color theme="1"/>
      <name val="Times New Roman"/>
      <family val="1"/>
    </font>
    <font>
      <b/>
      <sz val="30"/>
      <color theme="0" tint="-4.9989318521683403E-2"/>
      <name val="Times New Roman"/>
      <family val="1"/>
    </font>
    <font>
      <i/>
      <sz val="11"/>
      <color theme="1"/>
      <name val="Times New Roman"/>
      <family val="1"/>
    </font>
    <font>
      <i/>
      <sz val="11"/>
      <name val="Times New Roman"/>
      <family val="1"/>
    </font>
    <font>
      <b/>
      <i/>
      <u/>
      <sz val="15"/>
      <color theme="3"/>
      <name val="Times New Roman"/>
      <family val="1"/>
    </font>
    <font>
      <i/>
      <sz val="14"/>
      <color theme="1"/>
      <name val="Times New Roman"/>
      <family val="1"/>
    </font>
    <font>
      <b/>
      <i/>
      <sz val="16"/>
      <color theme="3"/>
      <name val="Times New Roman"/>
      <family val="1"/>
    </font>
    <font>
      <i/>
      <sz val="16"/>
      <color theme="1"/>
      <name val="Times New Roman"/>
      <family val="1"/>
    </font>
    <font>
      <b/>
      <i/>
      <sz val="16"/>
      <color theme="1"/>
      <name val="Times New Roman"/>
      <family val="1"/>
    </font>
    <font>
      <b/>
      <i/>
      <sz val="14"/>
      <color theme="3"/>
      <name val="Times New Roman"/>
      <family val="1"/>
    </font>
    <font>
      <i/>
      <sz val="14"/>
      <color theme="3"/>
      <name val="Times New Roman"/>
      <family val="1"/>
    </font>
    <font>
      <b/>
      <i/>
      <sz val="12"/>
      <color theme="3"/>
      <name val="Times New Roman"/>
      <family val="1"/>
    </font>
    <font>
      <b/>
      <sz val="16"/>
      <color theme="1"/>
      <name val="Times New Roman"/>
      <family val="1"/>
    </font>
    <font>
      <b/>
      <sz val="24"/>
      <color rgb="FFFF0000"/>
      <name val="Times New Roman"/>
      <family val="1"/>
    </font>
    <font>
      <sz val="11"/>
      <color theme="8" tint="-0.249977111117893"/>
      <name val="Times New Roman"/>
      <family val="1"/>
    </font>
    <font>
      <b/>
      <sz val="9"/>
      <color theme="8" tint="-0.249977111117893"/>
      <name val="Times New Roman"/>
      <family val="1"/>
    </font>
    <font>
      <b/>
      <sz val="13"/>
      <color theme="8" tint="-0.249977111117893"/>
      <name val="Times New Roman"/>
      <family val="1"/>
    </font>
    <font>
      <b/>
      <sz val="11"/>
      <color theme="8" tint="-0.249977111117893"/>
      <name val="Times New Roman"/>
      <family val="1"/>
    </font>
    <font>
      <b/>
      <sz val="10"/>
      <color theme="8" tint="-0.249977111117893"/>
      <name val="Times New Roman"/>
      <family val="1"/>
    </font>
    <font>
      <b/>
      <sz val="11"/>
      <color theme="1"/>
      <name val="Times New Roman"/>
      <family val="1"/>
    </font>
    <font>
      <b/>
      <sz val="14"/>
      <color rgb="FF7030A0"/>
      <name val="Bell MT"/>
      <family val="1"/>
    </font>
    <font>
      <sz val="12"/>
      <color theme="1" tint="0.249977111117893"/>
      <name val="Bell MT"/>
      <family val="1"/>
    </font>
    <font>
      <b/>
      <sz val="12"/>
      <color rgb="FF7030A0"/>
      <name val="Bell MT"/>
      <family val="1"/>
    </font>
    <font>
      <b/>
      <sz val="12"/>
      <color theme="1" tint="0.249977111117893"/>
      <name val="Bell MT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darkGrid">
        <bgColor theme="0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 style="thin">
        <color theme="3"/>
      </top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indexed="64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/>
      <bottom/>
      <diagonal/>
    </border>
    <border>
      <left/>
      <right style="thin">
        <color theme="3"/>
      </right>
      <top/>
      <bottom/>
      <diagonal/>
    </border>
    <border>
      <left style="thin">
        <color indexed="64"/>
      </left>
      <right style="thin">
        <color theme="3"/>
      </right>
      <top/>
      <bottom/>
      <diagonal/>
    </border>
    <border>
      <left style="thin">
        <color theme="3"/>
      </left>
      <right style="thin">
        <color theme="3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theme="3"/>
      </right>
      <top/>
      <bottom style="thin">
        <color indexed="64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3"/>
      </top>
      <bottom/>
      <diagonal/>
    </border>
    <border>
      <left/>
      <right/>
      <top style="thin">
        <color theme="3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3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theme="3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theme="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 style="thin">
        <color indexed="64"/>
      </right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5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93">
    <xf numFmtId="0" fontId="0" fillId="0" borderId="0" xfId="0"/>
    <xf numFmtId="0" fontId="4" fillId="2" borderId="0" xfId="0" applyFont="1" applyFill="1"/>
    <xf numFmtId="0" fontId="5" fillId="2" borderId="0" xfId="0" applyFont="1" applyFill="1"/>
    <xf numFmtId="0" fontId="2" fillId="2" borderId="25" xfId="0" applyFont="1" applyFill="1" applyBorder="1"/>
    <xf numFmtId="0" fontId="2" fillId="2" borderId="26" xfId="0" applyFont="1" applyFill="1" applyBorder="1"/>
    <xf numFmtId="0" fontId="2" fillId="2" borderId="28" xfId="0" applyFont="1" applyFill="1" applyBorder="1"/>
    <xf numFmtId="0" fontId="2" fillId="2" borderId="27" xfId="0" applyFont="1" applyFill="1" applyBorder="1"/>
    <xf numFmtId="0" fontId="2" fillId="2" borderId="17" xfId="0" applyFont="1" applyFill="1" applyBorder="1"/>
    <xf numFmtId="0" fontId="2" fillId="2" borderId="29" xfId="0" applyFont="1" applyFill="1" applyBorder="1"/>
    <xf numFmtId="0" fontId="2" fillId="0" borderId="8" xfId="0" applyFont="1" applyBorder="1" applyProtection="1">
      <protection locked="0"/>
    </xf>
    <xf numFmtId="0" fontId="2" fillId="0" borderId="0" xfId="0" applyFont="1"/>
    <xf numFmtId="0" fontId="2" fillId="0" borderId="9" xfId="0" applyFont="1" applyBorder="1" applyAlignment="1" applyProtection="1">
      <alignment horizontal="center"/>
      <protection locked="0"/>
    </xf>
    <xf numFmtId="166" fontId="2" fillId="0" borderId="10" xfId="1" applyNumberFormat="1" applyFont="1" applyBorder="1" applyAlignment="1">
      <alignment horizontal="right"/>
    </xf>
    <xf numFmtId="166" fontId="2" fillId="0" borderId="11" xfId="0" applyNumberFormat="1" applyFont="1" applyBorder="1"/>
    <xf numFmtId="0" fontId="2" fillId="0" borderId="10" xfId="0" applyFont="1" applyBorder="1" applyProtection="1"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0" borderId="13" xfId="0" applyFont="1" applyBorder="1" applyProtection="1">
      <protection locked="0"/>
    </xf>
    <xf numFmtId="0" fontId="2" fillId="0" borderId="15" xfId="0" applyFont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/>
    </xf>
    <xf numFmtId="0" fontId="2" fillId="0" borderId="24" xfId="0" applyFont="1" applyBorder="1" applyAlignment="1">
      <alignment horizontal="center"/>
    </xf>
    <xf numFmtId="165" fontId="2" fillId="0" borderId="10" xfId="1" applyFont="1" applyBorder="1" applyAlignment="1">
      <alignment horizontal="center"/>
    </xf>
    <xf numFmtId="165" fontId="2" fillId="0" borderId="11" xfId="0" applyNumberFormat="1" applyFont="1" applyBorder="1"/>
    <xf numFmtId="0" fontId="2" fillId="0" borderId="12" xfId="0" applyFont="1" applyBorder="1" applyAlignment="1">
      <alignment horizontal="center"/>
    </xf>
    <xf numFmtId="0" fontId="7" fillId="0" borderId="16" xfId="0" applyFont="1" applyBorder="1"/>
    <xf numFmtId="0" fontId="8" fillId="0" borderId="17" xfId="0" applyFont="1" applyBorder="1"/>
    <xf numFmtId="0" fontId="7" fillId="0" borderId="15" xfId="0" applyFont="1" applyBorder="1"/>
    <xf numFmtId="165" fontId="7" fillId="0" borderId="10" xfId="1" applyFont="1" applyBorder="1" applyAlignment="1">
      <alignment horizontal="center"/>
    </xf>
    <xf numFmtId="0" fontId="7" fillId="0" borderId="11" xfId="0" applyFont="1" applyBorder="1"/>
    <xf numFmtId="0" fontId="9" fillId="0" borderId="19" xfId="0" applyFont="1" applyBorder="1" applyAlignment="1">
      <alignment horizontal="left"/>
    </xf>
    <xf numFmtId="0" fontId="10" fillId="0" borderId="20" xfId="0" applyFont="1" applyBorder="1"/>
    <xf numFmtId="0" fontId="11" fillId="0" borderId="18" xfId="0" applyFont="1" applyBorder="1"/>
    <xf numFmtId="0" fontId="12" fillId="0" borderId="18" xfId="0" applyFont="1" applyBorder="1"/>
    <xf numFmtId="166" fontId="13" fillId="0" borderId="18" xfId="0" applyNumberFormat="1" applyFont="1" applyBorder="1"/>
    <xf numFmtId="0" fontId="9" fillId="0" borderId="21" xfId="0" applyFont="1" applyBorder="1" applyAlignment="1">
      <alignment horizontal="left"/>
    </xf>
    <xf numFmtId="0" fontId="10" fillId="0" borderId="0" xfId="0" applyFont="1"/>
    <xf numFmtId="9" fontId="12" fillId="0" borderId="18" xfId="0" applyNumberFormat="1" applyFont="1" applyBorder="1"/>
    <xf numFmtId="165" fontId="12" fillId="0" borderId="18" xfId="0" applyNumberFormat="1" applyFont="1" applyBorder="1"/>
    <xf numFmtId="0" fontId="11" fillId="0" borderId="0" xfId="0" applyFont="1"/>
    <xf numFmtId="0" fontId="12" fillId="0" borderId="0" xfId="0" applyFont="1"/>
    <xf numFmtId="165" fontId="12" fillId="0" borderId="23" xfId="0" applyNumberFormat="1" applyFont="1" applyBorder="1"/>
    <xf numFmtId="0" fontId="14" fillId="0" borderId="22" xfId="0" applyFont="1" applyBorder="1" applyAlignment="1">
      <alignment horizontal="left"/>
    </xf>
    <xf numFmtId="0" fontId="15" fillId="0" borderId="14" xfId="0" applyFont="1" applyBorder="1"/>
    <xf numFmtId="0" fontId="13" fillId="0" borderId="18" xfId="0" applyFont="1" applyBorder="1"/>
    <xf numFmtId="0" fontId="16" fillId="0" borderId="4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17" fillId="4" borderId="0" xfId="0" applyFont="1" applyFill="1"/>
    <xf numFmtId="0" fontId="17" fillId="4" borderId="0" xfId="0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4" borderId="0" xfId="0" applyFont="1" applyFill="1"/>
    <xf numFmtId="0" fontId="2" fillId="2" borderId="0" xfId="0" applyFont="1" applyFill="1"/>
    <xf numFmtId="0" fontId="19" fillId="2" borderId="0" xfId="0" applyFont="1" applyFill="1"/>
    <xf numFmtId="0" fontId="20" fillId="2" borderId="0" xfId="0" applyFont="1" applyFill="1"/>
    <xf numFmtId="0" fontId="21" fillId="2" borderId="30" xfId="0" applyFont="1" applyFill="1" applyBorder="1" applyAlignment="1">
      <alignment horizontal="left"/>
    </xf>
    <xf numFmtId="0" fontId="22" fillId="2" borderId="31" xfId="0" applyFont="1" applyFill="1" applyBorder="1" applyAlignment="1">
      <alignment horizontal="left"/>
    </xf>
    <xf numFmtId="167" fontId="22" fillId="2" borderId="30" xfId="3" applyNumberFormat="1" applyFont="1" applyFill="1" applyBorder="1" applyAlignment="1">
      <alignment horizontal="left" indent="1"/>
    </xf>
    <xf numFmtId="0" fontId="23" fillId="2" borderId="30" xfId="0" applyFont="1" applyFill="1" applyBorder="1" applyAlignment="1">
      <alignment horizontal="center" vertical="center"/>
    </xf>
    <xf numFmtId="0" fontId="23" fillId="2" borderId="30" xfId="0" applyFont="1" applyFill="1" applyBorder="1" applyAlignment="1">
      <alignment horizontal="center" vertical="center" wrapText="1"/>
    </xf>
    <xf numFmtId="0" fontId="24" fillId="2" borderId="32" xfId="0" applyFont="1" applyFill="1" applyBorder="1"/>
    <xf numFmtId="168" fontId="2" fillId="2" borderId="32" xfId="0" applyNumberFormat="1" applyFont="1" applyFill="1" applyBorder="1"/>
    <xf numFmtId="168" fontId="24" fillId="2" borderId="32" xfId="0" applyNumberFormat="1" applyFont="1" applyFill="1" applyBorder="1"/>
    <xf numFmtId="10" fontId="2" fillId="2" borderId="32" xfId="0" applyNumberFormat="1" applyFont="1" applyFill="1" applyBorder="1"/>
    <xf numFmtId="0" fontId="24" fillId="2" borderId="32" xfId="0" applyFont="1" applyFill="1" applyBorder="1" applyAlignment="1">
      <alignment vertical="center"/>
    </xf>
    <xf numFmtId="168" fontId="2" fillId="2" borderId="32" xfId="0" applyNumberFormat="1" applyFont="1" applyFill="1" applyBorder="1" applyAlignment="1">
      <alignment vertical="center"/>
    </xf>
    <xf numFmtId="168" fontId="24" fillId="2" borderId="32" xfId="0" applyNumberFormat="1" applyFont="1" applyFill="1" applyBorder="1" applyAlignment="1">
      <alignment vertical="center"/>
    </xf>
    <xf numFmtId="9" fontId="2" fillId="2" borderId="32" xfId="3" applyFont="1" applyFill="1" applyBorder="1" applyAlignment="1">
      <alignment vertical="center"/>
    </xf>
    <xf numFmtId="0" fontId="24" fillId="2" borderId="33" xfId="0" applyFont="1" applyFill="1" applyBorder="1"/>
    <xf numFmtId="10" fontId="2" fillId="2" borderId="33" xfId="0" applyNumberFormat="1" applyFont="1" applyFill="1" applyBorder="1"/>
    <xf numFmtId="0" fontId="2" fillId="2" borderId="33" xfId="0" applyFont="1" applyFill="1" applyBorder="1"/>
    <xf numFmtId="0" fontId="26" fillId="5" borderId="1" xfId="0" applyFont="1" applyFill="1" applyBorder="1"/>
    <xf numFmtId="0" fontId="26" fillId="5" borderId="2" xfId="0" applyFont="1" applyFill="1" applyBorder="1"/>
    <xf numFmtId="0" fontId="26" fillId="5" borderId="3" xfId="0" applyFont="1" applyFill="1" applyBorder="1"/>
    <xf numFmtId="0" fontId="27" fillId="2" borderId="34" xfId="0" applyFont="1" applyFill="1" applyBorder="1" applyAlignment="1">
      <alignment horizontal="center"/>
    </xf>
    <xf numFmtId="0" fontId="27" fillId="2" borderId="35" xfId="0" applyFont="1" applyFill="1" applyBorder="1" applyAlignment="1">
      <alignment horizontal="left"/>
    </xf>
    <xf numFmtId="0" fontId="27" fillId="2" borderId="36" xfId="0" applyFont="1" applyFill="1" applyBorder="1" applyAlignment="1">
      <alignment horizontal="center"/>
    </xf>
    <xf numFmtId="0" fontId="27" fillId="2" borderId="37" xfId="0" applyFont="1" applyFill="1" applyBorder="1" applyAlignment="1">
      <alignment horizontal="center"/>
    </xf>
    <xf numFmtId="0" fontId="28" fillId="2" borderId="0" xfId="0" applyFont="1" applyFill="1" applyAlignment="1">
      <alignment horizontal="left"/>
    </xf>
    <xf numFmtId="14" fontId="28" fillId="2" borderId="0" xfId="0" applyNumberFormat="1" applyFont="1" applyFill="1" applyAlignment="1">
      <alignment horizontal="left"/>
    </xf>
    <xf numFmtId="0" fontId="27" fillId="2" borderId="40" xfId="0" applyFont="1" applyFill="1" applyBorder="1" applyAlignment="1">
      <alignment horizontal="center"/>
    </xf>
    <xf numFmtId="0" fontId="28" fillId="2" borderId="41" xfId="0" applyFont="1" applyFill="1" applyBorder="1" applyAlignment="1">
      <alignment horizontal="left"/>
    </xf>
    <xf numFmtId="14" fontId="28" fillId="2" borderId="41" xfId="0" applyNumberFormat="1" applyFont="1" applyFill="1" applyBorder="1" applyAlignment="1">
      <alignment horizontal="left"/>
    </xf>
    <xf numFmtId="1" fontId="28" fillId="2" borderId="38" xfId="2" applyNumberFormat="1" applyFont="1" applyFill="1" applyBorder="1" applyAlignment="1">
      <alignment horizontal="center" vertical="center"/>
    </xf>
    <xf numFmtId="1" fontId="28" fillId="2" borderId="39" xfId="2" applyNumberFormat="1" applyFont="1" applyFill="1" applyBorder="1" applyAlignment="1">
      <alignment horizontal="center" vertical="center"/>
    </xf>
    <xf numFmtId="1" fontId="28" fillId="2" borderId="42" xfId="2" applyNumberFormat="1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21" fillId="2" borderId="30" xfId="0" applyFont="1" applyFill="1" applyBorder="1" applyAlignment="1">
      <alignment horizontal="center"/>
    </xf>
    <xf numFmtId="0" fontId="25" fillId="2" borderId="1" xfId="0" applyFont="1" applyFill="1" applyBorder="1" applyAlignment="1">
      <alignment horizontal="center"/>
    </xf>
    <xf numFmtId="0" fontId="25" fillId="2" borderId="2" xfId="0" applyFont="1" applyFill="1" applyBorder="1" applyAlignment="1">
      <alignment horizontal="center"/>
    </xf>
    <xf numFmtId="0" fontId="25" fillId="2" borderId="3" xfId="0" applyFont="1" applyFill="1" applyBorder="1" applyAlignment="1">
      <alignment horizontal="center"/>
    </xf>
  </cellXfs>
  <cellStyles count="4">
    <cellStyle name="Currency" xfId="2" builtinId="4"/>
    <cellStyle name="Milliers 2" xfId="1" xr:uid="{7BF39DF0-1691-4059-8F33-8621166D21CE}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274320</xdr:colOff>
          <xdr:row>31</xdr:row>
          <xdr:rowOff>76200</xdr:rowOff>
        </xdr:from>
        <xdr:to>
          <xdr:col>3</xdr:col>
          <xdr:colOff>2087880</xdr:colOff>
          <xdr:row>34</xdr:row>
          <xdr:rowOff>182880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Check Out the Bill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arius Aina" id="{0C2D7113-9EDC-4637-9087-5331179A1358}" userId="S::p106027@campus.univ-orleans.fr::037426c0-6667-4d16-a962-7e921a3d078a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6" dT="2026-01-15T13:25:07.79" personId="{0C2D7113-9EDC-4637-9087-5331179A1358}" id="{20FC13CD-D501-4E99-AE87-B326E5CBE733}">
    <text>To do : Check the stock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5"/>
  <sheetViews>
    <sheetView zoomScale="40" zoomScaleNormal="40" workbookViewId="0">
      <selection activeCell="G13" sqref="G13"/>
    </sheetView>
  </sheetViews>
  <sheetFormatPr defaultColWidth="0" defaultRowHeight="22.8"/>
  <cols>
    <col min="1" max="1" width="32.109375" style="2" customWidth="1"/>
    <col min="2" max="2" width="34.33203125" style="2" customWidth="1"/>
    <col min="3" max="3" width="12.88671875" style="2" bestFit="1" customWidth="1"/>
    <col min="4" max="4" width="50.88671875" style="2" customWidth="1"/>
    <col min="5" max="5" width="34.33203125" style="2" customWidth="1"/>
    <col min="6" max="6" width="18.5546875" style="2" customWidth="1"/>
    <col min="7" max="7" width="39.33203125" style="2" customWidth="1"/>
    <col min="8" max="8" width="74" style="2" customWidth="1"/>
    <col min="9" max="16384" width="8.88671875" style="2" hidden="1"/>
  </cols>
  <sheetData>
    <row r="1" spans="3:7" ht="23.4" thickBot="1"/>
    <row r="2" spans="3:7" ht="37.799999999999997" thickBot="1">
      <c r="C2" s="86" t="s">
        <v>21</v>
      </c>
      <c r="D2" s="87"/>
      <c r="E2" s="87"/>
      <c r="F2" s="87"/>
      <c r="G2" s="88"/>
    </row>
    <row r="3" spans="3:7">
      <c r="C3" s="3"/>
      <c r="D3" s="4"/>
      <c r="E3" s="4"/>
      <c r="F3" s="4"/>
      <c r="G3" s="5"/>
    </row>
    <row r="4" spans="3:7">
      <c r="C4" s="6"/>
      <c r="D4" s="7"/>
      <c r="E4" s="7"/>
      <c r="F4" s="7"/>
      <c r="G4" s="8"/>
    </row>
    <row r="5" spans="3:7">
      <c r="C5" s="43" t="s">
        <v>0</v>
      </c>
      <c r="D5" s="46" t="s">
        <v>28</v>
      </c>
      <c r="E5" s="44" t="s">
        <v>22</v>
      </c>
      <c r="F5" s="43" t="s">
        <v>23</v>
      </c>
      <c r="G5" s="45" t="s">
        <v>24</v>
      </c>
    </row>
    <row r="6" spans="3:7">
      <c r="C6" s="9"/>
      <c r="D6" s="10" t="str">
        <f ca="1">IF(C6="","",IF( VLOOKUP(C6,OFFSET(articles!$C$6:$F$6,0,0,COUNTA(articles!$C:$F)*0.3),4,FALSE) = 0,"RUPTURE DE STOCK",VLOOKUP(C6,OFFSET(articles!$C$6:$F$6,0,0,COUNTA(articles!$C:$F)*0.3),2,FALSE)))</f>
        <v/>
      </c>
      <c r="E6" s="11"/>
      <c r="F6" s="12" t="str">
        <f ca="1">IF(C6="","",IF(D6="RUPTURE DE STOCK","",VLOOKUP(C6,OFFSET(articles!$C$6:$F$6,0,0,COUNTA(articles!$C:$F)*0.3),3,FALSE)))</f>
        <v/>
      </c>
      <c r="G6" s="13" t="str">
        <f ca="1">IF(AND(ISNUMBER(E6), ISNUMBER(F6)),E6*F6,"")</f>
        <v/>
      </c>
    </row>
    <row r="7" spans="3:7">
      <c r="C7" s="14"/>
      <c r="D7" s="10" t="str">
        <f ca="1">IF(C7="","",IF( VLOOKUP(C7,OFFSET(articles!$C$6:$F$6,0,0,COUNTA(articles!$C:$F)*0.3),4,FALSE) = 0,"RUPTURE DE STOCK",VLOOKUP(C7,OFFSET(articles!$C$6:$F$6,0,0,COUNTA(articles!$C:$F)*0.3),2,FALSE)))</f>
        <v/>
      </c>
      <c r="E7" s="15"/>
      <c r="F7" s="12" t="str">
        <f ca="1">IF(C7="","",IF(D7="RUPTURE DE STOCK","",VLOOKUP(C7,OFFSET(articles!$C$6:$F$6,0,0,COUNTA(articles!$C:$F)*0.3),3,FALSE)))</f>
        <v/>
      </c>
      <c r="G7" s="13" t="str">
        <f t="shared" ref="G7:G26" ca="1" si="0">IF(AND(ISNUMBER(E7), ISNUMBER(F7)),E7*F7,"")</f>
        <v/>
      </c>
    </row>
    <row r="8" spans="3:7">
      <c r="C8" s="14"/>
      <c r="D8" s="10" t="str">
        <f ca="1">IF(C8="","",IF( VLOOKUP(C8,OFFSET(articles!$C$6:$F$6,0,0,COUNTA(articles!$C:$F)*0.3),4,FALSE) = 0,"RUPTURE DE STOCK",VLOOKUP(C8,OFFSET(articles!$C$6:$F$6,0,0,COUNTA(articles!$C:$F)*0.3),2,FALSE)))</f>
        <v/>
      </c>
      <c r="E8" s="15"/>
      <c r="F8" s="12" t="str">
        <f ca="1">IF(C8="","",IF(D8="RUPTURE DE STOCK","",VLOOKUP(C8,OFFSET(articles!$C$6:$F$6,0,0,COUNTA(articles!$C:$F)*0.3),3,FALSE)))</f>
        <v/>
      </c>
      <c r="G8" s="13" t="str">
        <f t="shared" ca="1" si="0"/>
        <v/>
      </c>
    </row>
    <row r="9" spans="3:7">
      <c r="C9" s="14"/>
      <c r="D9" s="10" t="str">
        <f ca="1">IF(C9="","",IF( VLOOKUP(C9,OFFSET(articles!$C$6:$F$6,0,0,COUNTA(articles!$C:$F)*0.3),4,FALSE) = 0,"RUPTURE DE STOCK",VLOOKUP(C9,OFFSET(articles!$C$6:$F$6,0,0,COUNTA(articles!$C:$F)*0.3),2,FALSE)))</f>
        <v/>
      </c>
      <c r="E9" s="15"/>
      <c r="F9" s="12" t="str">
        <f ca="1">IF(C9="","",IF(D9="RUPTURE DE STOCK","",VLOOKUP(C9,OFFSET(articles!$C$6:$F$6,0,0,COUNTA(articles!$C:$F)*0.3),3,FALSE)))</f>
        <v/>
      </c>
      <c r="G9" s="13" t="str">
        <f t="shared" ca="1" si="0"/>
        <v/>
      </c>
    </row>
    <row r="10" spans="3:7">
      <c r="C10" s="14"/>
      <c r="D10" s="10" t="str">
        <f ca="1">IF(C10="","",IF( VLOOKUP(C10,OFFSET(articles!$C$6:$F$6,0,0,COUNTA(articles!$C:$F)*0.3),4,FALSE) = 0,"RUPTURE DE STOCK",VLOOKUP(C10,OFFSET(articles!$C$6:$F$6,0,0,COUNTA(articles!$C:$F)*0.3),2,FALSE)))</f>
        <v/>
      </c>
      <c r="E10" s="15"/>
      <c r="F10" s="12" t="str">
        <f ca="1">IF(C10="","",IF(D10="RUPTURE DE STOCK","",VLOOKUP(C10,OFFSET(articles!$C$6:$F$6,0,0,COUNTA(articles!$C:$F)*0.3),3,FALSE)))</f>
        <v/>
      </c>
      <c r="G10" s="13" t="str">
        <f t="shared" ca="1" si="0"/>
        <v/>
      </c>
    </row>
    <row r="11" spans="3:7">
      <c r="C11" s="14"/>
      <c r="D11" s="10" t="str">
        <f ca="1">IF(C11="","",IF( VLOOKUP(C11,OFFSET(articles!$C$6:$F$6,0,0,COUNTA(articles!$C:$F)*0.3),4,FALSE) = 0,"RUPTURE DE STOCK",VLOOKUP(C11,OFFSET(articles!$C$6:$F$6,0,0,COUNTA(articles!$C:$F)*0.3),2,FALSE)))</f>
        <v/>
      </c>
      <c r="E11" s="15"/>
      <c r="F11" s="12" t="str">
        <f ca="1">IF(C11="","",IF(D11="RUPTURE DE STOCK","",VLOOKUP(C11,OFFSET(articles!$C$6:$F$6,0,0,COUNTA(articles!$C:$F)*0.3),3,FALSE)))</f>
        <v/>
      </c>
      <c r="G11" s="13" t="str">
        <f t="shared" ca="1" si="0"/>
        <v/>
      </c>
    </row>
    <row r="12" spans="3:7">
      <c r="C12" s="14"/>
      <c r="D12" s="10" t="str">
        <f ca="1">IF(C12="","",IF( VLOOKUP(C12,OFFSET(articles!$C$6:$F$6,0,0,COUNTA(articles!$C:$F)*0.3),4,FALSE) = 0,"RUPTURE DE STOCK",VLOOKUP(C12,OFFSET(articles!$C$6:$F$6,0,0,COUNTA(articles!$C:$F)*0.3),2,FALSE)))</f>
        <v/>
      </c>
      <c r="E12" s="15"/>
      <c r="F12" s="12" t="str">
        <f ca="1">IF(C12="","",IF(D12="RUPTURE DE STOCK","",VLOOKUP(C12,OFFSET(articles!$C$6:$F$6,0,0,COUNTA(articles!$C:$F)*0.3),3,FALSE)))</f>
        <v/>
      </c>
      <c r="G12" s="13" t="str">
        <f t="shared" ca="1" si="0"/>
        <v/>
      </c>
    </row>
    <row r="13" spans="3:7">
      <c r="C13" s="14"/>
      <c r="D13" s="10" t="str">
        <f ca="1">IF(C13="","",IF( VLOOKUP(C13,OFFSET(articles!$C$6:$F$6,0,0,COUNTA(articles!$C:$F)*0.3),4,FALSE) = 0,"RUPTURE DE STOCK",VLOOKUP(C13,OFFSET(articles!$C$6:$F$6,0,0,COUNTA(articles!$C:$F)*0.3),2,FALSE)))</f>
        <v/>
      </c>
      <c r="E13" s="15"/>
      <c r="F13" s="12" t="str">
        <f ca="1">IF(C13="","",IF(D13="RUPTURE DE STOCK","",VLOOKUP(C13,OFFSET(articles!$C$6:$F$6,0,0,COUNTA(articles!$C:$F)*0.3),3,FALSE)))</f>
        <v/>
      </c>
      <c r="G13" s="13" t="str">
        <f t="shared" ca="1" si="0"/>
        <v/>
      </c>
    </row>
    <row r="14" spans="3:7">
      <c r="C14" s="14"/>
      <c r="D14" s="10" t="str">
        <f ca="1">IF(C14="","",IF( VLOOKUP(C14,OFFSET(articles!$C$6:$F$6,0,0,COUNTA(articles!$C:$F)*0.3),4,FALSE) = 0,"RUPTURE DE STOCK",VLOOKUP(C14,OFFSET(articles!$C$6:$F$6,0,0,COUNTA(articles!$C:$F)*0.3),2,FALSE)))</f>
        <v/>
      </c>
      <c r="E14" s="15"/>
      <c r="F14" s="12" t="str">
        <f ca="1">IF(C14="","",IF(D14="RUPTURE DE STOCK","",VLOOKUP(C14,OFFSET(articles!$C$6:$F$6,0,0,COUNTA(articles!$C:$F)*0.3),3,FALSE)))</f>
        <v/>
      </c>
      <c r="G14" s="13" t="str">
        <f t="shared" ca="1" si="0"/>
        <v/>
      </c>
    </row>
    <row r="15" spans="3:7">
      <c r="C15" s="14"/>
      <c r="D15" s="10" t="str">
        <f ca="1">IF(C15="","",IF( VLOOKUP(C15,OFFSET(articles!$C$6:$F$6,0,0,COUNTA(articles!$C:$F)*0.3),4,FALSE) = 0,"RUPTURE DE STOCK",VLOOKUP(C15,OFFSET(articles!$C$6:$F$6,0,0,COUNTA(articles!$C:$F)*0.3),2,FALSE)))</f>
        <v/>
      </c>
      <c r="E15" s="15"/>
      <c r="F15" s="12" t="str">
        <f ca="1">IF(C15="","",IF(D15="RUPTURE DE STOCK","",VLOOKUP(C15,OFFSET(articles!$C$6:$F$6,0,0,COUNTA(articles!$C:$F)*0.3),3,FALSE)))</f>
        <v/>
      </c>
      <c r="G15" s="13" t="str">
        <f t="shared" ca="1" si="0"/>
        <v/>
      </c>
    </row>
    <row r="16" spans="3:7">
      <c r="C16" s="14"/>
      <c r="D16" s="10" t="str">
        <f ca="1">IF(C16="","",IF( VLOOKUP(C16,OFFSET(articles!$C$6:$F$6,0,0,COUNTA(articles!$C:$F)*0.3),4,FALSE) = 0,"RUPTURE DE STOCK",VLOOKUP(C16,OFFSET(articles!$C$6:$F$6,0,0,COUNTA(articles!$C:$F)*0.3),2,FALSE)))</f>
        <v/>
      </c>
      <c r="E16" s="15"/>
      <c r="F16" s="12" t="str">
        <f ca="1">IF(C16="","",IF(D16="RUPTURE DE STOCK","",VLOOKUP(C16,OFFSET(articles!$C$6:$F$6,0,0,COUNTA(articles!$C:$F)*0.3),3,FALSE)))</f>
        <v/>
      </c>
      <c r="G16" s="13" t="str">
        <f t="shared" ca="1" si="0"/>
        <v/>
      </c>
    </row>
    <row r="17" spans="3:7">
      <c r="C17" s="14"/>
      <c r="D17" s="10" t="str">
        <f ca="1">IF(C17="","",IF( VLOOKUP(C17,OFFSET(articles!$C$6:$F$6,0,0,COUNTA(articles!$C:$F)*0.3),4,FALSE) = 0,"RUPTURE DE STOCK",VLOOKUP(C17,OFFSET(articles!$C$6:$F$6,0,0,COUNTA(articles!$C:$F)*0.3),2,FALSE)))</f>
        <v/>
      </c>
      <c r="E17" s="15"/>
      <c r="F17" s="12" t="str">
        <f ca="1">IF(C17="","",IF(D17="RUPTURE DE STOCK","",VLOOKUP(C17,OFFSET(articles!$C$6:$F$6,0,0,COUNTA(articles!$C:$F)*0.3),3,FALSE)))</f>
        <v/>
      </c>
      <c r="G17" s="13" t="str">
        <f t="shared" ca="1" si="0"/>
        <v/>
      </c>
    </row>
    <row r="18" spans="3:7">
      <c r="C18" s="14"/>
      <c r="D18" s="10" t="str">
        <f ca="1">IF(C18="","",IF( VLOOKUP(C18,OFFSET(articles!$C$6:$F$6,0,0,COUNTA(articles!$C:$F)*0.3),4,FALSE) = 0,"RUPTURE DE STOCK",VLOOKUP(C18,OFFSET(articles!$C$6:$F$6,0,0,COUNTA(articles!$C:$F)*0.3),2,FALSE)))</f>
        <v/>
      </c>
      <c r="E18" s="15"/>
      <c r="F18" s="12" t="str">
        <f ca="1">IF(C18="","",IF(D18="RUPTURE DE STOCK","",VLOOKUP(C18,OFFSET(articles!$C$6:$F$6,0,0,COUNTA(articles!$C:$F)*0.3),3,FALSE)))</f>
        <v/>
      </c>
      <c r="G18" s="13" t="str">
        <f t="shared" ca="1" si="0"/>
        <v/>
      </c>
    </row>
    <row r="19" spans="3:7">
      <c r="C19" s="14"/>
      <c r="D19" s="10" t="str">
        <f ca="1">IF(C19="","",IF( VLOOKUP(C19,OFFSET(articles!$C$6:$F$6,0,0,COUNTA(articles!$C:$F)*0.3),4,FALSE) = 0,"RUPTURE DE STOCK",VLOOKUP(C19,OFFSET(articles!$C$6:$F$6,0,0,COUNTA(articles!$C:$F)*0.3),2,FALSE)))</f>
        <v/>
      </c>
      <c r="E19" s="15"/>
      <c r="F19" s="12" t="str">
        <f ca="1">IF(C19="","",IF(D19="RUPTURE DE STOCK","",VLOOKUP(C19,OFFSET(articles!$C$6:$F$6,0,0,COUNTA(articles!$C:$F)*0.3),3,FALSE)))</f>
        <v/>
      </c>
      <c r="G19" s="13" t="str">
        <f t="shared" ca="1" si="0"/>
        <v/>
      </c>
    </row>
    <row r="20" spans="3:7">
      <c r="C20" s="14"/>
      <c r="D20" s="10" t="str">
        <f ca="1">IF(C20="","",IF( VLOOKUP(C20,OFFSET(articles!$C$6:$F$6,0,0,COUNTA(articles!$C:$F)*0.3),4,FALSE) = 0,"RUPTURE DE STOCK",VLOOKUP(C20,OFFSET(articles!$C$6:$F$6,0,0,COUNTA(articles!$C:$F)*0.3),2,FALSE)))</f>
        <v/>
      </c>
      <c r="E20" s="15"/>
      <c r="F20" s="12" t="str">
        <f ca="1">IF(C20="","",IF(D20="RUPTURE DE STOCK","",VLOOKUP(C20,OFFSET(articles!$C$6:$F$6,0,0,COUNTA(articles!$C:$F)*0.3),3,FALSE)))</f>
        <v/>
      </c>
      <c r="G20" s="13" t="str">
        <f t="shared" ca="1" si="0"/>
        <v/>
      </c>
    </row>
    <row r="21" spans="3:7">
      <c r="C21" s="14"/>
      <c r="D21" s="10" t="str">
        <f ca="1">IF(C21="","",IF( VLOOKUP(C21,OFFSET(articles!$C$6:$F$6,0,0,COUNTA(articles!$C:$F)*0.3),4,FALSE) = 0,"RUPTURE DE STOCK",VLOOKUP(C21,OFFSET(articles!$C$6:$F$6,0,0,COUNTA(articles!$C:$F)*0.3),2,FALSE)))</f>
        <v/>
      </c>
      <c r="E21" s="15"/>
      <c r="F21" s="12" t="str">
        <f ca="1">IF(C21="","",IF(D21="RUPTURE DE STOCK","",VLOOKUP(C21,OFFSET(articles!$C$6:$F$6,0,0,COUNTA(articles!$C:$F)*0.3),3,FALSE)))</f>
        <v/>
      </c>
      <c r="G21" s="13" t="str">
        <f t="shared" ca="1" si="0"/>
        <v/>
      </c>
    </row>
    <row r="22" spans="3:7">
      <c r="C22" s="14"/>
      <c r="D22" s="10" t="str">
        <f ca="1">IF(C22="","",IF( VLOOKUP(C22,OFFSET(articles!$C$6:$F$6,0,0,COUNTA(articles!$C:$F)*0.3),4,FALSE) = 0,"RUPTURE DE STOCK",VLOOKUP(C22,OFFSET(articles!$C$6:$F$6,0,0,COUNTA(articles!$C:$F)*0.3),2,FALSE)))</f>
        <v/>
      </c>
      <c r="E22" s="15"/>
      <c r="F22" s="12" t="str">
        <f ca="1">IF(C22="","",IF(D22="RUPTURE DE STOCK","",VLOOKUP(C22,OFFSET(articles!$C$6:$F$6,0,0,COUNTA(articles!$C:$F)*0.3),3,FALSE)))</f>
        <v/>
      </c>
      <c r="G22" s="13" t="str">
        <f t="shared" ca="1" si="0"/>
        <v/>
      </c>
    </row>
    <row r="23" spans="3:7">
      <c r="C23" s="14"/>
      <c r="D23" s="10" t="str">
        <f ca="1">IF(C23="","",IF( VLOOKUP(C23,OFFSET(articles!$C$6:$F$6,0,0,COUNTA(articles!$C:$F)*0.3),4,FALSE) = 0,"RUPTURE DE STOCK",VLOOKUP(C23,OFFSET(articles!$C$6:$F$6,0,0,COUNTA(articles!$C:$F)*0.3),2,FALSE)))</f>
        <v/>
      </c>
      <c r="E23" s="15"/>
      <c r="F23" s="12" t="str">
        <f ca="1">IF(C23="","",IF(D23="RUPTURE DE STOCK","",VLOOKUP(C23,OFFSET(articles!$C$6:$F$6,0,0,COUNTA(articles!$C:$F)*0.3),3,FALSE)))</f>
        <v/>
      </c>
      <c r="G23" s="13" t="str">
        <f t="shared" ca="1" si="0"/>
        <v/>
      </c>
    </row>
    <row r="24" spans="3:7">
      <c r="C24" s="14"/>
      <c r="D24" s="10" t="str">
        <f ca="1">IF(C24="","",IF( VLOOKUP(C24,OFFSET(articles!$C$6:$F$6,0,0,COUNTA(articles!$C:$F)*0.3),4,FALSE) = 0,"RUPTURE DE STOCK",VLOOKUP(C24,OFFSET(articles!$C$6:$F$6,0,0,COUNTA(articles!$C:$F)*0.3),2,FALSE)))</f>
        <v/>
      </c>
      <c r="E24" s="15"/>
      <c r="F24" s="12" t="str">
        <f ca="1">IF(C24="","",IF(D24="RUPTURE DE STOCK","",VLOOKUP(C24,OFFSET(articles!$C$6:$F$6,0,0,COUNTA(articles!$C:$F)*0.3),3,FALSE)))</f>
        <v/>
      </c>
      <c r="G24" s="13" t="str">
        <f t="shared" ca="1" si="0"/>
        <v/>
      </c>
    </row>
    <row r="25" spans="3:7">
      <c r="C25" s="14"/>
      <c r="D25" s="10" t="str">
        <f ca="1">IF(C25="","",IF( VLOOKUP(C25,OFFSET(articles!$C$6:$F$6,0,0,COUNTA(articles!$C:$F)*0.3),4,FALSE) = 0,"RUPTURE DE STOCK",VLOOKUP(C25,OFFSET(articles!$C$6:$F$6,0,0,COUNTA(articles!$C:$F)*0.3),2,FALSE)))</f>
        <v/>
      </c>
      <c r="E25" s="15"/>
      <c r="F25" s="12" t="str">
        <f ca="1">IF(C25="","",IF(D25="RUPTURE DE STOCK","",VLOOKUP(C25,OFFSET(articles!$C$6:$F$6,0,0,COUNTA(articles!$C:$F)*0.3),3,FALSE)))</f>
        <v/>
      </c>
      <c r="G25" s="13" t="str">
        <f t="shared" ca="1" si="0"/>
        <v/>
      </c>
    </row>
    <row r="26" spans="3:7">
      <c r="C26" s="16"/>
      <c r="D26" s="10" t="str">
        <f ca="1">IF(C26="","",IF( VLOOKUP(C26,OFFSET(articles!$C$6:$F$6,0,0,COUNTA(articles!$C:$F)*0.3),4,FALSE) = 0,"RUPTURE DE STOCK",VLOOKUP(C26,OFFSET(articles!$C$6:$F$6,0,0,COUNTA(articles!$C:$F)*0.3),2,FALSE)))</f>
        <v/>
      </c>
      <c r="E26" s="17"/>
      <c r="F26" s="12" t="str">
        <f ca="1">IF(C26="","",IF(D26="RUPTURE DE STOCK","",VLOOKUP(C26,OFFSET(articles!$C$6:$F$6,0,0,COUNTA(articles!$C:$F)*0.3),3,FALSE)))</f>
        <v/>
      </c>
      <c r="G26" s="13" t="str">
        <f t="shared" ca="1" si="0"/>
        <v/>
      </c>
    </row>
    <row r="27" spans="3:7">
      <c r="C27" s="18"/>
      <c r="D27" s="10"/>
      <c r="E27" s="19"/>
      <c r="F27" s="20"/>
      <c r="G27" s="21"/>
    </row>
    <row r="28" spans="3:7">
      <c r="C28" s="18"/>
      <c r="D28" s="10"/>
      <c r="E28" s="22"/>
      <c r="F28" s="20"/>
      <c r="G28" s="21"/>
    </row>
    <row r="29" spans="3:7">
      <c r="C29" s="18"/>
      <c r="D29" s="10"/>
      <c r="E29" s="22"/>
      <c r="F29" s="20"/>
      <c r="G29" s="21"/>
    </row>
    <row r="30" spans="3:7">
      <c r="C30" s="18"/>
      <c r="D30" s="10"/>
      <c r="E30" s="22"/>
      <c r="F30" s="20"/>
      <c r="G30" s="21"/>
    </row>
    <row r="31" spans="3:7">
      <c r="C31" s="23"/>
      <c r="D31" s="24"/>
      <c r="E31" s="25"/>
      <c r="F31" s="26"/>
      <c r="G31" s="27"/>
    </row>
    <row r="32" spans="3:7">
      <c r="C32" s="28"/>
      <c r="D32" s="29"/>
      <c r="E32" s="30" t="s">
        <v>25</v>
      </c>
      <c r="F32" s="31"/>
      <c r="G32" s="32">
        <f ca="1">SUM(G6:G26)</f>
        <v>0</v>
      </c>
    </row>
    <row r="33" spans="3:7">
      <c r="C33" s="33"/>
      <c r="D33" s="34"/>
      <c r="E33" s="30" t="s">
        <v>26</v>
      </c>
      <c r="F33" s="35">
        <v>0.2</v>
      </c>
      <c r="G33" s="36"/>
    </row>
    <row r="34" spans="3:7">
      <c r="C34" s="33"/>
      <c r="D34" s="34"/>
      <c r="E34" s="37"/>
      <c r="F34" s="38"/>
      <c r="G34" s="39"/>
    </row>
    <row r="35" spans="3:7">
      <c r="C35" s="40"/>
      <c r="D35" s="41"/>
      <c r="E35" s="30" t="s">
        <v>27</v>
      </c>
      <c r="F35" s="42"/>
      <c r="G35" s="32">
        <f ca="1">G32*(1+F33)</f>
        <v>0</v>
      </c>
    </row>
  </sheetData>
  <mergeCells count="1">
    <mergeCell ref="C2:G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Sheet1.check_bill">
                <anchor moveWithCells="1" sizeWithCells="1">
                  <from>
                    <xdr:col>3</xdr:col>
                    <xdr:colOff>274320</xdr:colOff>
                    <xdr:row>31</xdr:row>
                    <xdr:rowOff>76200</xdr:rowOff>
                  </from>
                  <to>
                    <xdr:col>3</xdr:col>
                    <xdr:colOff>2087880</xdr:colOff>
                    <xdr:row>34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DC52D42-5F55-4E3D-8ADE-D58E157B21ED}">
          <x14:formula1>
            <xm:f>OFFSET(articles!$C$7,0,0,COUNTIF(articles!$C:$C, "&gt;" &amp; articles!$C$7))</xm:f>
          </x14:formula1>
          <xm:sqref>C6:C26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DB195-8CE8-4A97-B22C-27E102958E57}">
  <sheetPr codeName="Sheet2"/>
  <dimension ref="C6:F16"/>
  <sheetViews>
    <sheetView zoomScale="80" zoomScaleNormal="80" workbookViewId="0">
      <selection activeCell="D22" sqref="D22"/>
    </sheetView>
  </sheetViews>
  <sheetFormatPr defaultRowHeight="21"/>
  <cols>
    <col min="1" max="1" width="12.44140625" style="1" bestFit="1" customWidth="1"/>
    <col min="2" max="2" width="8.88671875" style="1"/>
    <col min="3" max="3" width="16.109375" style="1" bestFit="1" customWidth="1"/>
    <col min="4" max="4" width="55.6640625" style="1" bestFit="1" customWidth="1"/>
    <col min="5" max="5" width="21" style="50" bestFit="1" customWidth="1"/>
    <col min="6" max="6" width="9" style="50" customWidth="1"/>
    <col min="7" max="16384" width="8.88671875" style="1"/>
  </cols>
  <sheetData>
    <row r="6" spans="3:6">
      <c r="C6" s="47" t="s">
        <v>0</v>
      </c>
      <c r="D6" s="47" t="s">
        <v>1</v>
      </c>
      <c r="E6" s="48" t="s">
        <v>2</v>
      </c>
      <c r="F6" s="48" t="s">
        <v>29</v>
      </c>
    </row>
    <row r="7" spans="3:6">
      <c r="C7" s="47" t="s">
        <v>3</v>
      </c>
      <c r="D7" s="1" t="s">
        <v>4</v>
      </c>
      <c r="E7" s="49">
        <v>250</v>
      </c>
      <c r="F7" s="50">
        <v>5</v>
      </c>
    </row>
    <row r="8" spans="3:6">
      <c r="C8" s="47" t="s">
        <v>5</v>
      </c>
      <c r="D8" s="1" t="s">
        <v>6</v>
      </c>
      <c r="E8" s="49">
        <v>325</v>
      </c>
      <c r="F8" s="50">
        <v>8</v>
      </c>
    </row>
    <row r="9" spans="3:6">
      <c r="C9" s="47" t="s">
        <v>7</v>
      </c>
      <c r="D9" s="1" t="s">
        <v>8</v>
      </c>
      <c r="E9" s="49">
        <v>175</v>
      </c>
      <c r="F9" s="50">
        <v>3</v>
      </c>
    </row>
    <row r="10" spans="3:6">
      <c r="C10" s="47" t="s">
        <v>9</v>
      </c>
      <c r="D10" s="1" t="s">
        <v>10</v>
      </c>
      <c r="E10" s="49">
        <v>290</v>
      </c>
      <c r="F10" s="50">
        <v>7</v>
      </c>
    </row>
    <row r="11" spans="3:6">
      <c r="C11" s="47" t="s">
        <v>11</v>
      </c>
      <c r="D11" s="1" t="s">
        <v>12</v>
      </c>
      <c r="E11" s="49">
        <v>445</v>
      </c>
      <c r="F11" s="50">
        <v>5</v>
      </c>
    </row>
    <row r="12" spans="3:6">
      <c r="C12" s="47" t="s">
        <v>13</v>
      </c>
      <c r="D12" s="1" t="s">
        <v>14</v>
      </c>
      <c r="E12" s="49">
        <v>90</v>
      </c>
      <c r="F12" s="50">
        <v>5</v>
      </c>
    </row>
    <row r="13" spans="3:6">
      <c r="C13" s="47" t="s">
        <v>15</v>
      </c>
      <c r="D13" s="1" t="s">
        <v>16</v>
      </c>
      <c r="E13" s="49">
        <v>85</v>
      </c>
      <c r="F13" s="50">
        <v>4</v>
      </c>
    </row>
    <row r="14" spans="3:6">
      <c r="C14" s="47" t="s">
        <v>17</v>
      </c>
      <c r="D14" s="1" t="s">
        <v>18</v>
      </c>
      <c r="E14" s="49">
        <v>70</v>
      </c>
      <c r="F14" s="50">
        <v>2</v>
      </c>
    </row>
    <row r="15" spans="3:6">
      <c r="C15" s="47" t="s">
        <v>19</v>
      </c>
      <c r="D15" s="1" t="s">
        <v>20</v>
      </c>
      <c r="E15" s="49">
        <v>105</v>
      </c>
      <c r="F15" s="50">
        <v>0</v>
      </c>
    </row>
    <row r="16" spans="3:6">
      <c r="C16" s="47" t="s">
        <v>30</v>
      </c>
      <c r="E16" s="4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C66F-F238-4F4A-98F2-452AEBEF8D69}">
  <sheetPr codeName="Sheet4"/>
  <dimension ref="B2:H15"/>
  <sheetViews>
    <sheetView topLeftCell="B1" workbookViewId="0">
      <selection activeCell="H19" sqref="H19"/>
    </sheetView>
  </sheetViews>
  <sheetFormatPr defaultRowHeight="13.8"/>
  <cols>
    <col min="1" max="1" width="8.88671875" style="52"/>
    <col min="2" max="2" width="18.5546875" style="52" bestFit="1" customWidth="1"/>
    <col min="3" max="3" width="14" style="52" customWidth="1"/>
    <col min="4" max="4" width="15" style="52" customWidth="1"/>
    <col min="5" max="5" width="14.44140625" style="52" customWidth="1"/>
    <col min="6" max="6" width="15" style="52" customWidth="1"/>
    <col min="7" max="7" width="11.5546875" style="52" customWidth="1"/>
    <col min="8" max="8" width="13.33203125" style="52" bestFit="1" customWidth="1"/>
    <col min="9" max="16384" width="8.88671875" style="52"/>
  </cols>
  <sheetData>
    <row r="2" spans="2:8" ht="14.4" thickBot="1">
      <c r="B2" s="53"/>
      <c r="C2" s="53"/>
      <c r="D2" s="53"/>
      <c r="E2" s="53"/>
      <c r="F2" s="53"/>
      <c r="G2" s="53"/>
      <c r="H2" s="53"/>
    </row>
    <row r="3" spans="2:8" ht="17.399999999999999" thickBot="1">
      <c r="B3" s="54"/>
      <c r="C3" s="89" t="s">
        <v>31</v>
      </c>
      <c r="D3" s="89"/>
      <c r="E3" s="89"/>
      <c r="F3" s="89"/>
      <c r="G3" s="54"/>
      <c r="H3" s="54"/>
    </row>
    <row r="4" spans="2:8">
      <c r="B4" s="54"/>
      <c r="C4" s="54"/>
      <c r="D4" s="54"/>
      <c r="E4" s="54"/>
      <c r="F4" s="54"/>
      <c r="G4" s="54"/>
      <c r="H4" s="54"/>
    </row>
    <row r="5" spans="2:8" ht="14.4" thickBot="1">
      <c r="B5" s="54"/>
      <c r="C5" s="54"/>
      <c r="D5" s="54"/>
      <c r="E5" s="54"/>
      <c r="F5" s="54"/>
      <c r="G5" s="54"/>
      <c r="H5" s="54"/>
    </row>
    <row r="6" spans="2:8" ht="17.399999999999999" thickBot="1">
      <c r="B6" s="55" t="s">
        <v>32</v>
      </c>
      <c r="C6" s="54"/>
      <c r="D6" s="56" t="s">
        <v>33</v>
      </c>
      <c r="E6" s="57">
        <v>0.2</v>
      </c>
      <c r="F6" s="54"/>
      <c r="G6" s="54"/>
      <c r="H6" s="54"/>
    </row>
    <row r="7" spans="2:8" ht="14.4" thickBot="1">
      <c r="B7" s="54"/>
      <c r="C7" s="54"/>
      <c r="D7" s="54"/>
      <c r="E7" s="54"/>
      <c r="F7" s="54"/>
      <c r="G7" s="54"/>
      <c r="H7" s="54"/>
    </row>
    <row r="8" spans="2:8" ht="27" thickBot="1">
      <c r="B8" s="58" t="s">
        <v>34</v>
      </c>
      <c r="C8" s="58" t="s">
        <v>35</v>
      </c>
      <c r="D8" s="58" t="s">
        <v>36</v>
      </c>
      <c r="E8" s="58" t="s">
        <v>37</v>
      </c>
      <c r="F8" s="58" t="s">
        <v>38</v>
      </c>
      <c r="G8" s="59" t="s">
        <v>39</v>
      </c>
      <c r="H8" s="58" t="s">
        <v>40</v>
      </c>
    </row>
    <row r="9" spans="2:8">
      <c r="B9" s="60" t="s">
        <v>41</v>
      </c>
      <c r="C9" s="61">
        <v>157500</v>
      </c>
      <c r="D9" s="61">
        <v>157500</v>
      </c>
      <c r="E9" s="61">
        <v>165000</v>
      </c>
      <c r="F9" s="62">
        <f t="shared" ref="F9:F14" si="0">SUM(C9:E9)</f>
        <v>480000</v>
      </c>
      <c r="G9" s="63">
        <f t="shared" ref="G9:G14" si="1">F9/$F$14</f>
        <v>0.4844325579048292</v>
      </c>
      <c r="H9" s="61" cm="1">
        <f t="array" ref="H9">TTC(F9,$E$6)</f>
        <v>576000.00143051147</v>
      </c>
    </row>
    <row r="10" spans="2:8">
      <c r="B10" s="60" t="s">
        <v>42</v>
      </c>
      <c r="C10" s="61">
        <v>37350</v>
      </c>
      <c r="D10" s="61">
        <v>12000</v>
      </c>
      <c r="E10" s="61">
        <v>24000</v>
      </c>
      <c r="F10" s="62">
        <f t="shared" si="0"/>
        <v>73350</v>
      </c>
      <c r="G10" s="63">
        <f t="shared" si="1"/>
        <v>7.4027350254831717E-2</v>
      </c>
      <c r="H10" s="61" cm="1">
        <f t="array" ref="H10">TTC(F10,$E$6)</f>
        <v>88020.000218600035</v>
      </c>
    </row>
    <row r="11" spans="2:8">
      <c r="B11" s="60" t="s">
        <v>43</v>
      </c>
      <c r="C11" s="61">
        <v>40000</v>
      </c>
      <c r="D11" s="61">
        <v>25000</v>
      </c>
      <c r="E11" s="61">
        <v>65000</v>
      </c>
      <c r="F11" s="62">
        <f t="shared" si="0"/>
        <v>130000</v>
      </c>
      <c r="G11" s="63">
        <f t="shared" si="1"/>
        <v>0.13120048443255791</v>
      </c>
      <c r="H11" s="61" cm="1">
        <f t="array" ref="H11">TTC(F11,$E$6)</f>
        <v>156000.00038743019</v>
      </c>
    </row>
    <row r="12" spans="2:8">
      <c r="B12" s="60" t="s">
        <v>44</v>
      </c>
      <c r="C12" s="61">
        <v>85000</v>
      </c>
      <c r="D12" s="61">
        <v>85000</v>
      </c>
      <c r="E12" s="61">
        <v>85000</v>
      </c>
      <c r="F12" s="62">
        <f t="shared" si="0"/>
        <v>255000</v>
      </c>
      <c r="G12" s="63">
        <f t="shared" si="1"/>
        <v>0.25735479638694053</v>
      </c>
      <c r="H12" s="61" cm="1">
        <f t="array" ref="H12">TTC(F12,$E$6)</f>
        <v>306000.00075995922</v>
      </c>
    </row>
    <row r="13" spans="2:8">
      <c r="B13" s="60" t="s">
        <v>45</v>
      </c>
      <c r="C13" s="61">
        <v>15000</v>
      </c>
      <c r="D13" s="61">
        <v>12500</v>
      </c>
      <c r="E13" s="61">
        <v>25000</v>
      </c>
      <c r="F13" s="62">
        <f t="shared" si="0"/>
        <v>52500</v>
      </c>
      <c r="G13" s="63">
        <f t="shared" si="1"/>
        <v>5.298481102084069E-2</v>
      </c>
      <c r="H13" s="61" cm="1">
        <f t="array" ref="H13">TTC(F13,$E$6)</f>
        <v>63000.000156462193</v>
      </c>
    </row>
    <row r="14" spans="2:8">
      <c r="B14" s="64" t="s">
        <v>46</v>
      </c>
      <c r="C14" s="65">
        <f>SUM(C9:C13)</f>
        <v>334850</v>
      </c>
      <c r="D14" s="65">
        <f>SUM(D9:D13)</f>
        <v>292000</v>
      </c>
      <c r="E14" s="65">
        <f>SUM(E9:E13)</f>
        <v>364000</v>
      </c>
      <c r="F14" s="66">
        <f t="shared" si="0"/>
        <v>990850</v>
      </c>
      <c r="G14" s="67">
        <f t="shared" si="1"/>
        <v>1</v>
      </c>
      <c r="H14" s="61" cm="1">
        <f t="array" ref="H14">TTC(F14,$E$6)</f>
        <v>1189020.0029529631</v>
      </c>
    </row>
    <row r="15" spans="2:8" ht="14.4" thickBot="1">
      <c r="B15" s="68" t="s">
        <v>47</v>
      </c>
      <c r="C15" s="69">
        <f>C14/$F$14</f>
        <v>0.33794217086340012</v>
      </c>
      <c r="D15" s="69">
        <f>D14/$F$14</f>
        <v>0.29469647272543775</v>
      </c>
      <c r="E15" s="69">
        <f>E14/$F$14</f>
        <v>0.36736135641116213</v>
      </c>
      <c r="F15" s="69">
        <f>F14/$F$14</f>
        <v>1</v>
      </c>
      <c r="G15" s="70"/>
      <c r="H15" s="70"/>
    </row>
  </sheetData>
  <mergeCells count="1">
    <mergeCell ref="C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10B9A-ED7F-4CE9-82AC-DA14775A6FEA}">
  <sheetPr codeName="Sheet5"/>
  <dimension ref="B2:F17"/>
  <sheetViews>
    <sheetView tabSelected="1" workbookViewId="0">
      <selection activeCell="J13" sqref="J13"/>
    </sheetView>
  </sheetViews>
  <sheetFormatPr defaultRowHeight="13.8"/>
  <cols>
    <col min="1" max="1" width="8.88671875" style="52"/>
    <col min="2" max="2" width="14.88671875" style="52" bestFit="1" customWidth="1"/>
    <col min="3" max="3" width="14.109375" style="52" bestFit="1" customWidth="1"/>
    <col min="4" max="4" width="10.88671875" style="52" bestFit="1" customWidth="1"/>
    <col min="5" max="5" width="17.44140625" style="52" bestFit="1" customWidth="1"/>
    <col min="6" max="6" width="12.109375" style="52" bestFit="1" customWidth="1"/>
    <col min="7" max="16384" width="8.88671875" style="52"/>
  </cols>
  <sheetData>
    <row r="2" spans="2:6" ht="14.4" thickBot="1"/>
    <row r="3" spans="2:6" ht="18.600000000000001" thickBot="1">
      <c r="B3" s="90" t="s">
        <v>48</v>
      </c>
      <c r="C3" s="91"/>
      <c r="D3" s="91"/>
      <c r="E3" s="91"/>
      <c r="F3" s="92"/>
    </row>
    <row r="4" spans="2:6" ht="16.2" thickBot="1">
      <c r="B4" s="71"/>
      <c r="C4" s="72"/>
      <c r="D4" s="72"/>
      <c r="E4" s="72"/>
      <c r="F4" s="73"/>
    </row>
    <row r="5" spans="2:6" ht="16.2">
      <c r="B5" s="74" t="s">
        <v>49</v>
      </c>
      <c r="C5" s="75" t="s">
        <v>50</v>
      </c>
      <c r="D5" s="75" t="s">
        <v>51</v>
      </c>
      <c r="E5" s="75" t="s">
        <v>52</v>
      </c>
      <c r="F5" s="76" t="s">
        <v>53</v>
      </c>
    </row>
    <row r="6" spans="2:6" ht="16.2">
      <c r="B6" s="77">
        <v>100</v>
      </c>
      <c r="C6" s="78" t="s">
        <v>54</v>
      </c>
      <c r="D6" s="78" t="s">
        <v>55</v>
      </c>
      <c r="E6" s="79">
        <v>23034</v>
      </c>
      <c r="F6" s="83" cm="1">
        <f t="array" ref="F6">AGE(E6)</f>
        <v>63</v>
      </c>
    </row>
    <row r="7" spans="2:6" ht="16.2">
      <c r="B7" s="77">
        <v>110</v>
      </c>
      <c r="C7" s="78" t="s">
        <v>56</v>
      </c>
      <c r="D7" s="78" t="s">
        <v>57</v>
      </c>
      <c r="E7" s="79">
        <v>33474</v>
      </c>
      <c r="F7" s="84" cm="1">
        <f t="array" ref="F7">AGE(E7)</f>
        <v>34</v>
      </c>
    </row>
    <row r="8" spans="2:6" ht="16.2">
      <c r="B8" s="77">
        <v>120</v>
      </c>
      <c r="C8" s="78" t="s">
        <v>58</v>
      </c>
      <c r="D8" s="78" t="s">
        <v>59</v>
      </c>
      <c r="E8" s="79">
        <v>33475</v>
      </c>
      <c r="F8" s="84" cm="1">
        <f t="array" ref="F8">AGE(E8)</f>
        <v>34</v>
      </c>
    </row>
    <row r="9" spans="2:6" ht="16.2">
      <c r="B9" s="77">
        <v>130</v>
      </c>
      <c r="C9" s="78" t="s">
        <v>60</v>
      </c>
      <c r="D9" s="78" t="s">
        <v>61</v>
      </c>
      <c r="E9" s="79">
        <v>32096</v>
      </c>
      <c r="F9" s="84" cm="1">
        <f t="array" ref="F9">AGE(E9)</f>
        <v>38</v>
      </c>
    </row>
    <row r="10" spans="2:6" ht="16.2">
      <c r="B10" s="77">
        <v>140</v>
      </c>
      <c r="C10" s="78" t="s">
        <v>62</v>
      </c>
      <c r="D10" s="78" t="s">
        <v>63</v>
      </c>
      <c r="E10" s="79">
        <v>32218</v>
      </c>
      <c r="F10" s="84" cm="1">
        <f t="array" ref="F10">AGE(E10)</f>
        <v>38</v>
      </c>
    </row>
    <row r="11" spans="2:6" ht="16.2">
      <c r="B11" s="77">
        <v>150</v>
      </c>
      <c r="C11" s="78" t="s">
        <v>64</v>
      </c>
      <c r="D11" s="78" t="s">
        <v>65</v>
      </c>
      <c r="E11" s="79">
        <v>23034</v>
      </c>
      <c r="F11" s="84" cm="1">
        <f t="array" ref="F11">AGE(E11)</f>
        <v>63</v>
      </c>
    </row>
    <row r="12" spans="2:6" ht="16.2">
      <c r="B12" s="77">
        <v>160</v>
      </c>
      <c r="C12" s="78" t="s">
        <v>66</v>
      </c>
      <c r="D12" s="78" t="s">
        <v>67</v>
      </c>
      <c r="E12" s="79">
        <v>31820</v>
      </c>
      <c r="F12" s="84" cm="1">
        <f t="array" ref="F12">AGE(E12)</f>
        <v>39</v>
      </c>
    </row>
    <row r="13" spans="2:6" ht="16.2">
      <c r="B13" s="77">
        <v>170</v>
      </c>
      <c r="C13" s="78" t="s">
        <v>68</v>
      </c>
      <c r="D13" s="78" t="s">
        <v>69</v>
      </c>
      <c r="E13" s="79">
        <v>33475</v>
      </c>
      <c r="F13" s="84" cm="1">
        <f t="array" ref="F13">AGE(E13)</f>
        <v>34</v>
      </c>
    </row>
    <row r="14" spans="2:6" ht="16.2">
      <c r="B14" s="77">
        <v>180</v>
      </c>
      <c r="C14" s="78" t="s">
        <v>70</v>
      </c>
      <c r="D14" s="78" t="s">
        <v>61</v>
      </c>
      <c r="E14" s="79">
        <v>35749</v>
      </c>
      <c r="F14" s="84" cm="1">
        <f t="array" ref="F14">AGE(E14)</f>
        <v>28</v>
      </c>
    </row>
    <row r="15" spans="2:6" ht="16.2">
      <c r="B15" s="77">
        <v>190</v>
      </c>
      <c r="C15" s="78" t="s">
        <v>71</v>
      </c>
      <c r="D15" s="78" t="s">
        <v>63</v>
      </c>
      <c r="E15" s="79">
        <v>32218</v>
      </c>
      <c r="F15" s="84" cm="1">
        <f t="array" ref="F15">AGE(E15)</f>
        <v>38</v>
      </c>
    </row>
    <row r="16" spans="2:6" ht="16.2">
      <c r="B16" s="77">
        <v>200</v>
      </c>
      <c r="C16" s="78" t="s">
        <v>72</v>
      </c>
      <c r="D16" s="78" t="s">
        <v>73</v>
      </c>
      <c r="E16" s="79">
        <v>28594</v>
      </c>
      <c r="F16" s="84" cm="1">
        <f t="array" ref="F16">AGE(E16)</f>
        <v>48</v>
      </c>
    </row>
    <row r="17" spans="2:6" ht="16.8" thickBot="1">
      <c r="B17" s="80">
        <v>210</v>
      </c>
      <c r="C17" s="81" t="s">
        <v>74</v>
      </c>
      <c r="D17" s="81" t="s">
        <v>75</v>
      </c>
      <c r="E17" s="82">
        <v>21077</v>
      </c>
      <c r="F17" s="85" cm="1">
        <f t="array" ref="F17">AGE(E17)</f>
        <v>68</v>
      </c>
    </row>
  </sheetData>
  <mergeCells count="1">
    <mergeCell ref="B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386D1-B8B3-466E-8607-213D7B4603EF}">
  <sheetPr codeName="Sheet3"/>
  <dimension ref="F6:N17"/>
  <sheetViews>
    <sheetView workbookViewId="0">
      <selection activeCell="E13" sqref="E13"/>
    </sheetView>
  </sheetViews>
  <sheetFormatPr defaultRowHeight="18"/>
  <cols>
    <col min="1" max="5" width="8.88671875" style="51"/>
    <col min="6" max="6" width="6" style="51" bestFit="1" customWidth="1"/>
    <col min="7" max="10" width="8.88671875" style="51"/>
    <col min="11" max="11" width="13.44140625" style="51" bestFit="1" customWidth="1"/>
    <col min="12" max="12" width="47" style="51" bestFit="1" customWidth="1"/>
    <col min="13" max="13" width="17.77734375" style="51" bestFit="1" customWidth="1"/>
    <col min="14" max="14" width="6.88671875" style="51" bestFit="1" customWidth="1"/>
    <col min="15" max="16384" width="8.88671875" style="51"/>
  </cols>
  <sheetData>
    <row r="6" spans="6:14">
      <c r="F6" s="51" t="str" cm="1">
        <f t="array" aca="1" ref="F6:F15" ca="1">OFFSET(articles!$C$7,0,0,COUNTIF(articles!$C:$C, "&gt;" &amp; articles!$C$7))</f>
        <v>b001</v>
      </c>
      <c r="K6" s="51" t="str" cm="1">
        <f t="array" aca="1" ref="K6:N17" ca="1">OFFSET(articles!$C$6:$F$6,0,0,COUNTA(articles!$C:$F)*0.3)</f>
        <v>Code article</v>
      </c>
      <c r="L6" s="51" t="str">
        <f ca="1"/>
        <v>Désignation</v>
      </c>
      <c r="M6" s="51" t="str">
        <f ca="1"/>
        <v>Prix unitaire HT</v>
      </c>
      <c r="N6" s="51" t="str">
        <f ca="1"/>
        <v>Stock</v>
      </c>
    </row>
    <row r="7" spans="6:14">
      <c r="F7" s="51" t="str">
        <f ca="1"/>
        <v>b002</v>
      </c>
      <c r="K7" s="51" t="str">
        <f ca="1"/>
        <v>b001</v>
      </c>
      <c r="L7" s="51" t="str">
        <f ca="1"/>
        <v>CAISSON PLUS 2 ARMOIRES 2 PORTES</v>
      </c>
      <c r="M7" s="51">
        <f ca="1"/>
        <v>250</v>
      </c>
      <c r="N7" s="51">
        <f ca="1"/>
        <v>5</v>
      </c>
    </row>
    <row r="8" spans="6:14">
      <c r="F8" s="51" t="str">
        <f ca="1"/>
        <v>b003</v>
      </c>
      <c r="K8" s="51" t="str">
        <f ca="1"/>
        <v>b002</v>
      </c>
      <c r="L8" s="51" t="str">
        <f ca="1"/>
        <v xml:space="preserve">BUREAU MDF /1M40 </v>
      </c>
      <c r="M8" s="51">
        <f ca="1"/>
        <v>325</v>
      </c>
      <c r="N8" s="51">
        <f ca="1"/>
        <v>8</v>
      </c>
    </row>
    <row r="9" spans="6:14">
      <c r="F9" s="51" t="str">
        <f ca="1"/>
        <v>b004</v>
      </c>
      <c r="K9" s="51" t="str">
        <f ca="1"/>
        <v>b003</v>
      </c>
      <c r="L9" s="51" t="str">
        <f ca="1"/>
        <v>TABLE POUR ORDINATEUR</v>
      </c>
      <c r="M9" s="51">
        <f ca="1"/>
        <v>175</v>
      </c>
      <c r="N9" s="51">
        <f ca="1"/>
        <v>3</v>
      </c>
    </row>
    <row r="10" spans="6:14">
      <c r="F10" s="51" t="str">
        <f ca="1"/>
        <v>b005</v>
      </c>
      <c r="K10" s="51" t="str">
        <f ca="1"/>
        <v>b004</v>
      </c>
      <c r="L10" s="51" t="str">
        <f ca="1"/>
        <v>TABLE DE TRAVAIL 2M40 MDF</v>
      </c>
      <c r="M10" s="51">
        <f ca="1"/>
        <v>290</v>
      </c>
      <c r="N10" s="51">
        <f ca="1"/>
        <v>7</v>
      </c>
    </row>
    <row r="11" spans="6:14">
      <c r="F11" s="51" t="str">
        <f ca="1"/>
        <v>b006</v>
      </c>
      <c r="K11" s="51" t="str">
        <f ca="1"/>
        <v>b005</v>
      </c>
      <c r="L11" s="51" t="str">
        <f ca="1"/>
        <v>BIBLIOTHEQUE 4PRTE</v>
      </c>
      <c r="M11" s="51">
        <f ca="1"/>
        <v>445</v>
      </c>
      <c r="N11" s="51">
        <f ca="1"/>
        <v>5</v>
      </c>
    </row>
    <row r="12" spans="6:14">
      <c r="F12" s="51" t="str">
        <f ca="1"/>
        <v>b007</v>
      </c>
      <c r="K12" s="51" t="str">
        <f ca="1"/>
        <v>b006</v>
      </c>
      <c r="L12" s="51" t="str">
        <f ca="1"/>
        <v>ETAGERE DE RANGEMENT</v>
      </c>
      <c r="M12" s="51">
        <f ca="1"/>
        <v>90</v>
      </c>
      <c r="N12" s="51">
        <f ca="1"/>
        <v>5</v>
      </c>
    </row>
    <row r="13" spans="6:14">
      <c r="F13" s="51" t="str">
        <f ca="1"/>
        <v>b008</v>
      </c>
      <c r="K13" s="51" t="str">
        <f ca="1"/>
        <v>b007</v>
      </c>
      <c r="L13" s="51" t="str">
        <f ca="1"/>
        <v>CHAISE ROUL</v>
      </c>
      <c r="M13" s="51">
        <f ca="1"/>
        <v>85</v>
      </c>
      <c r="N13" s="51">
        <f ca="1"/>
        <v>4</v>
      </c>
    </row>
    <row r="14" spans="6:14">
      <c r="F14" s="51" t="str">
        <f ca="1"/>
        <v>b009</v>
      </c>
      <c r="K14" s="51" t="str">
        <f ca="1"/>
        <v>b008</v>
      </c>
      <c r="L14" s="51" t="str">
        <f ca="1"/>
        <v>CHAISE FIXE</v>
      </c>
      <c r="M14" s="51">
        <f ca="1"/>
        <v>70</v>
      </c>
      <c r="N14" s="51">
        <f ca="1"/>
        <v>2</v>
      </c>
    </row>
    <row r="15" spans="6:14">
      <c r="F15" s="51" t="str">
        <f ca="1"/>
        <v>b010</v>
      </c>
      <c r="K15" s="51" t="str">
        <f ca="1"/>
        <v>b009</v>
      </c>
      <c r="L15" s="51" t="str">
        <f ca="1"/>
        <v>CHAISE EN BOIS</v>
      </c>
      <c r="M15" s="51">
        <f ca="1"/>
        <v>105</v>
      </c>
      <c r="N15" s="51">
        <f ca="1"/>
        <v>0</v>
      </c>
    </row>
    <row r="16" spans="6:14">
      <c r="K16" s="51" t="str">
        <f ca="1"/>
        <v>b010</v>
      </c>
      <c r="L16" s="51">
        <f ca="1"/>
        <v>0</v>
      </c>
      <c r="M16" s="51">
        <f ca="1"/>
        <v>0</v>
      </c>
      <c r="N16" s="51">
        <f ca="1"/>
        <v>0</v>
      </c>
    </row>
    <row r="17" spans="11:14">
      <c r="K17" s="51">
        <f ca="1"/>
        <v>0</v>
      </c>
      <c r="L17" s="51">
        <f ca="1"/>
        <v>0</v>
      </c>
      <c r="M17" s="51">
        <f ca="1"/>
        <v>0</v>
      </c>
      <c r="N17" s="51">
        <f ca="1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Bill</vt:lpstr>
      <vt:lpstr>articles</vt:lpstr>
      <vt:lpstr>Budget prévisionnel</vt:lpstr>
      <vt:lpstr>Salariés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Farius</dc:creator>
  <cp:lastModifiedBy>Farius Aina</cp:lastModifiedBy>
  <dcterms:created xsi:type="dcterms:W3CDTF">2015-06-05T18:17:20Z</dcterms:created>
  <dcterms:modified xsi:type="dcterms:W3CDTF">2026-01-18T13:41:48Z</dcterms:modified>
</cp:coreProperties>
</file>